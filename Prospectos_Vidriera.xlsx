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ómo usar" sheetId="1" state="visible" r:id="rId1"/>
    <sheet name="Prospectos" sheetId="2" state="visible" r:id="rId2"/>
    <sheet name="Resumen" sheetId="3" state="visible" r:id="rId3"/>
    <sheet name="Puntos" sheetId="4" state="visible" r:id="rId4"/>
    <sheet name="Guiones" sheetId="5" state="visible" r:id="rId5"/>
  </sheets>
  <definedNames>
    <definedName name="_xlnm._FilterDatabase" localSheetId="1" hidden="1">'Prospectos'!$A$1:$AC$35</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12">
    <font>
      <name val="Calibri"/>
      <family val="2"/>
      <color theme="1"/>
      <sz val="11"/>
      <scheme val="minor"/>
    </font>
    <font>
      <name val="Arial"/>
      <b val="1"/>
      <color rgb="00FFFFFF"/>
      <sz val="10"/>
    </font>
    <font>
      <name val="Arial"/>
      <color rgb="00111111"/>
      <sz val="10"/>
    </font>
    <font>
      <name val="Arial"/>
      <color rgb="000563C1"/>
      <sz val="10"/>
      <u val="single"/>
    </font>
    <font>
      <name val="Arial"/>
      <b val="1"/>
    </font>
    <font>
      <name val="Arial"/>
      <b val="1"/>
      <sz val="10"/>
    </font>
    <font>
      <name val="Arial"/>
      <sz val="10"/>
    </font>
    <font>
      <name val="Arial"/>
      <color rgb="000000FF"/>
      <sz val="10"/>
    </font>
    <font>
      <name val="Arial"/>
      <b val="1"/>
      <sz val="14"/>
    </font>
    <font>
      <name val="Arial"/>
      <sz val="11"/>
    </font>
    <font>
      <name val="Arial"/>
      <b val="1"/>
      <sz val="11"/>
    </font>
    <font>
      <name val="Arial"/>
      <i val="1"/>
      <sz val="10"/>
    </font>
  </fonts>
  <fills count="5">
    <fill>
      <patternFill/>
    </fill>
    <fill>
      <patternFill patternType="gray125"/>
    </fill>
    <fill>
      <patternFill patternType="solid">
        <fgColor rgb="00111111"/>
      </patternFill>
    </fill>
    <fill>
      <patternFill patternType="solid">
        <fgColor rgb="00FFF2CC"/>
      </patternFill>
    </fill>
    <fill>
      <patternFill patternType="solid">
        <fgColor rgb="00F2F2F2"/>
      </patternFill>
    </fill>
  </fills>
  <borders count="2">
    <border>
      <left/>
      <right/>
      <top/>
      <bottom/>
      <diagonal/>
    </border>
    <border>
      <bottom style="thin">
        <color rgb="00D0D0D0"/>
      </bottom>
    </border>
  </borders>
  <cellStyleXfs count="1">
    <xf numFmtId="0" fontId="0" fillId="0" borderId="0"/>
  </cellStyleXfs>
  <cellXfs count="24">
    <xf numFmtId="0" fontId="0" fillId="0" borderId="0" pivotButton="0" quotePrefix="0" xfId="0"/>
    <xf numFmtId="0" fontId="8" fillId="0" borderId="0" applyAlignment="1" pivotButton="0" quotePrefix="0" xfId="0">
      <alignment vertical="top" wrapText="1"/>
    </xf>
    <xf numFmtId="0" fontId="6" fillId="0" borderId="0" applyAlignment="1" pivotButton="0" quotePrefix="0" xfId="0">
      <alignment vertical="top" wrapText="1"/>
    </xf>
    <xf numFmtId="0" fontId="10"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0" fontId="2" fillId="3" borderId="1" applyAlignment="1" pivotButton="0" quotePrefix="0" xfId="0">
      <alignment vertical="top"/>
    </xf>
    <xf numFmtId="165" fontId="2" fillId="3" borderId="1" applyAlignment="1" pivotButton="0" quotePrefix="0" xfId="0">
      <alignment vertical="top"/>
    </xf>
    <xf numFmtId="165" fontId="2" fillId="0" borderId="1" applyAlignment="1" pivotButton="0" quotePrefix="0" xfId="0">
      <alignment vertical="top"/>
    </xf>
    <xf numFmtId="0" fontId="2" fillId="3" borderId="1" applyAlignment="1" pivotButton="0" quotePrefix="0" xfId="0">
      <alignment vertical="top" wrapText="1"/>
    </xf>
    <xf numFmtId="0" fontId="3" fillId="0" borderId="1" applyAlignment="1" pivotButton="0" quotePrefix="0" xfId="0">
      <alignment vertical="top"/>
    </xf>
    <xf numFmtId="0" fontId="8" fillId="0" borderId="0" pivotButton="0" quotePrefix="0" xfId="0"/>
    <xf numFmtId="0" fontId="9" fillId="0" borderId="0" pivotButton="0" quotePrefix="0" xfId="0"/>
    <xf numFmtId="0" fontId="10" fillId="0" borderId="0" pivotButton="0" quotePrefix="0" xfId="0"/>
    <xf numFmtId="9" fontId="10" fillId="0" borderId="0" pivotButton="0" quotePrefix="0" xfId="0"/>
    <xf numFmtId="0" fontId="11" fillId="0" borderId="0" pivotButton="0" quotePrefix="0" xfId="0"/>
    <xf numFmtId="0" fontId="5"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4" fillId="0" borderId="0" pivotButton="0" quotePrefix="0" xfId="0"/>
    <xf numFmtId="0" fontId="5" fillId="4" borderId="0" applyAlignment="1" pivotButton="0" quotePrefix="0" xfId="0">
      <alignment vertical="top" wrapText="1"/>
    </xf>
  </cellXfs>
  <cellStyles count="1">
    <cellStyle name="Normal" xfId="0" builtinId="0" hidden="0"/>
  </cellStyles>
  <dxfs count="6">
    <dxf>
      <font>
        <name val="Arial"/>
        <b val="1"/>
      </font>
      <fill>
        <patternFill patternType="solid">
          <fgColor rgb="00C5F53D"/>
        </patternFill>
      </fill>
    </dxf>
    <dxf>
      <fill>
        <patternFill patternType="solid">
          <fgColor rgb="00FFD9B3"/>
        </patternFill>
      </fill>
    </dxf>
    <dxf>
      <fill>
        <patternFill patternType="solid">
          <fgColor rgb="00F2F2F2"/>
        </patternFill>
      </fill>
    </dxf>
    <dxf>
      <fill>
        <patternFill patternType="solid">
          <fgColor rgb="00C6EFCE"/>
        </patternFill>
      </fill>
    </dxf>
    <dxf>
      <fill>
        <patternFill patternType="solid">
          <fgColor rgb="00F4CCC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8126"/>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Planilla de prospectos de Vidriera</t>
        </is>
      </c>
    </row>
    <row r="2">
      <c r="A2" s="2" t="inlineStr">
        <is>
          <t>Relevado el 20/10/2026 con la búsqueda local de Google (cerrajerías, odontólogos y talleres de Palermo y alrededores) y una revisión de cada web como visitante.</t>
        </is>
      </c>
    </row>
    <row r="3">
      <c r="A3" s="2" t="inlineStr"/>
    </row>
    <row r="4">
      <c r="A4" s="3" t="inlineStr">
        <is>
          <t>Qué completás vos (celdas amarillas en la hoja Prospectos)</t>
        </is>
      </c>
    </row>
    <row r="5">
      <c r="A5" s="2" t="inlineStr">
        <is>
          <t>Estado: elegilo de la lista desplegable cada vez que avances.</t>
        </is>
      </c>
    </row>
    <row r="6">
      <c r="A6" s="2" t="inlineStr">
        <is>
          <t>Fecha 1er contacto: escribila (dd/mm/aaaa). Los tres seguimientos se calculan solos y se pintan de rojo cuando vencen si el estado sigue en “Contactado”.</t>
        </is>
      </c>
    </row>
    <row r="7">
      <c r="A7" s="2" t="inlineStr">
        <is>
          <t>Próximo paso y Notas: lo que hablaste y qué sigue.</t>
        </is>
      </c>
    </row>
    <row r="8">
      <c r="A8" s="2" t="inlineStr"/>
    </row>
    <row r="9">
      <c r="A9" s="3" t="inlineStr">
        <is>
          <t>Qué se calcula solo</t>
        </is>
      </c>
    </row>
    <row r="10">
      <c r="A10" s="2" t="inlineStr">
        <is>
          <t>Puntos y Prioridad: según la situación, las reseñas y el puntaje (la tabla está en la hoja Puntos y la podés cambiar).</t>
        </is>
      </c>
    </row>
    <row r="11">
      <c r="A11" s="2" t="inlineStr">
        <is>
          <t>Resumen: cuántos prospectos hay por prioridad, rubro y estado, y tus tasas de respuesta y cierre.</t>
        </is>
      </c>
    </row>
    <row r="12">
      <c r="A12" s="2" t="inlineStr"/>
    </row>
    <row r="13">
      <c r="A13" s="3" t="inlineStr">
        <is>
          <t>Antes de contactar a cada uno</t>
        </is>
      </c>
    </row>
    <row r="14">
      <c r="A14" s="2" t="inlineStr">
        <is>
          <t>Los datos de Google cambian: confirmá teléfono, horario y si sigue sin web (columna “Cómo verificarlo”).</t>
        </is>
      </c>
    </row>
    <row r="15">
      <c r="A15" s="2" t="inlineStr">
        <is>
          <t>Para “Web caída” y “Web lenta”, probalo desde tu celular con datos móviles: la revisión se hizo desde la red de la facultad.</t>
        </is>
      </c>
    </row>
    <row r="16">
      <c r="A16" s="2" t="inlineStr">
        <is>
          <t>Revisá solo lo que ve cualquier visitante. No escanees ni intentes entrar a webs ajenas sin permiso escrito.</t>
        </is>
      </c>
    </row>
    <row r="17">
      <c r="A17" s="2" t="inlineStr">
        <is>
          <t>No mandes mensajes masivos por WhatsApp: escribí de a uno y personalizá el gancho, o te bloquean el número.</t>
        </is>
      </c>
    </row>
    <row r="18">
      <c r="A18" s="2" t="inlineStr">
        <is>
          <t>Si alguien te pide que no lo contactes, poné el estado “No contactar” y no le vuelvas a escribir.</t>
        </is>
      </c>
    </row>
    <row r="19">
      <c r="A19" s="2" t="inlineStr"/>
    </row>
    <row r="20">
      <c r="A20" s="3" t="inlineStr">
        <is>
          <t>Orden sugerido</t>
        </is>
      </c>
    </row>
    <row r="21">
      <c r="A21" s="2" t="inlineStr">
        <is>
          <t>Filtrá Prioridad = Alta. Armá la demo personalizada (nombre, barrio y sus reseñas reales) y mandá el mensaje corto del guion. Los teléfonos fijos van por visita presencial.</t>
        </is>
      </c>
    </row>
    <row r="22">
      <c r="A22" s="2" t="inlineStr">
        <is>
          <t>Meta semanal: 25 contactos, 5 diagnósticos, 1 o 2 propuestas.</t>
        </is>
      </c>
    </row>
  </sheetData>
  <pageMargins left="0.75" right="0.75" top="1" bottom="1" header="0.5" footer="0.5"/>
</worksheet>
</file>

<file path=xl/worksheets/sheet2.xml><?xml version="1.0" encoding="utf-8"?>
<worksheet xmlns="http://schemas.openxmlformats.org/spreadsheetml/2006/main">
  <sheetPr>
    <tabColor rgb="00111111"/>
    <outlinePr summaryBelow="1" summaryRight="1"/>
    <pageSetUpPr/>
  </sheetPr>
  <dimension ref="A1:AC3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8" customWidth="1" min="3" max="3"/>
    <col width="34" customWidth="1" min="4" max="4"/>
    <col width="15" customWidth="1" min="5" max="5"/>
    <col width="20" customWidth="1" min="6" max="6"/>
    <col width="26" customWidth="1" min="7" max="7"/>
    <col width="17" customWidth="1" min="8" max="8"/>
    <col width="14" customWidth="1" min="9" max="9"/>
    <col width="16" customWidth="1" min="10" max="10"/>
    <col width="10" customWidth="1" min="11" max="11"/>
    <col width="9" customWidth="1" min="12" max="12"/>
    <col width="20" customWidth="1" min="13" max="13"/>
    <col width="30" customWidth="1" min="14" max="14"/>
    <col width="20" customWidth="1" min="15" max="15"/>
    <col width="44" customWidth="1" min="16" max="16"/>
    <col width="40" customWidth="1" min="17" max="17"/>
    <col width="56" customWidth="1" min="18" max="18"/>
    <col width="22" customWidth="1" min="19" max="19"/>
    <col width="22" customWidth="1" min="20" max="20"/>
    <col width="26" customWidth="1" min="21" max="21"/>
    <col width="22" customWidth="1" min="22" max="22"/>
    <col width="18" customWidth="1" min="23" max="23"/>
    <col width="14" customWidth="1" min="24" max="24"/>
    <col width="14" customWidth="1" min="25" max="25"/>
    <col width="14" customWidth="1" min="26" max="26"/>
    <col width="14" customWidth="1" min="27" max="27"/>
    <col width="30" customWidth="1" min="28" max="28"/>
    <col width="30" customWidth="1" min="29" max="29"/>
  </cols>
  <sheetData>
    <row r="1" ht="34" customHeight="1">
      <c r="A1" s="4" t="inlineStr">
        <is>
          <t>#</t>
        </is>
      </c>
      <c r="B1" s="4" t="inlineStr">
        <is>
          <t>Prioridad</t>
        </is>
      </c>
      <c r="C1" s="4" t="inlineStr">
        <is>
          <t>Puntos</t>
        </is>
      </c>
      <c r="D1" s="4" t="inlineStr">
        <is>
          <t>Negocio</t>
        </is>
      </c>
      <c r="E1" s="4" t="inlineStr">
        <is>
          <t>Rubro</t>
        </is>
      </c>
      <c r="F1" s="4" t="inlineStr">
        <is>
          <t>Zona</t>
        </is>
      </c>
      <c r="G1" s="4" t="inlineStr">
        <is>
          <t>Dirección</t>
        </is>
      </c>
      <c r="H1" s="4" t="inlineStr">
        <is>
          <t>Teléfono</t>
        </is>
      </c>
      <c r="I1" s="4" t="inlineStr">
        <is>
          <t>Tipo de línea</t>
        </is>
      </c>
      <c r="J1" s="4" t="inlineStr">
        <is>
          <t>WhatsApp</t>
        </is>
      </c>
      <c r="K1" s="4" t="inlineStr">
        <is>
          <t>Puntaje Google</t>
        </is>
      </c>
      <c r="L1" s="4" t="inlineStr">
        <is>
          <t>Reseñas</t>
        </is>
      </c>
      <c r="M1" s="4" t="inlineStr">
        <is>
          <t>Horario (al relevar)</t>
        </is>
      </c>
      <c r="N1" s="4" t="inlineStr">
        <is>
          <t>Web actual</t>
        </is>
      </c>
      <c r="O1" s="4" t="inlineStr">
        <is>
          <t>Situación</t>
        </is>
      </c>
      <c r="P1" s="4" t="inlineStr">
        <is>
          <t>Problema detectado</t>
        </is>
      </c>
      <c r="Q1" s="4" t="inlineStr">
        <is>
          <t>Cómo verificarlo</t>
        </is>
      </c>
      <c r="R1" s="4" t="inlineStr">
        <is>
          <t>Gancho para el primer mensaje</t>
        </is>
      </c>
      <c r="S1" s="4" t="inlineStr">
        <is>
          <t>Pack sugerido</t>
        </is>
      </c>
      <c r="T1" s="4" t="inlineStr">
        <is>
          <t>Canal recomendado</t>
        </is>
      </c>
      <c r="U1" s="4" t="inlineStr">
        <is>
          <t>Guion a usar</t>
        </is>
      </c>
      <c r="V1" s="4" t="inlineStr">
        <is>
          <t>Demo a mostrar</t>
        </is>
      </c>
      <c r="W1" s="4" t="inlineStr">
        <is>
          <t>Estado</t>
        </is>
      </c>
      <c r="X1" s="4" t="inlineStr">
        <is>
          <t>Fecha 1er contacto</t>
        </is>
      </c>
      <c r="Y1" s="4" t="inlineStr">
        <is>
          <t>Seguimiento 1 (+3 días)</t>
        </is>
      </c>
      <c r="Z1" s="4" t="inlineStr">
        <is>
          <t>Seguimiento 2 (+7 días)</t>
        </is>
      </c>
      <c r="AA1" s="4" t="inlineStr">
        <is>
          <t>Último aviso (+14 días)</t>
        </is>
      </c>
      <c r="AB1" s="4" t="inlineStr">
        <is>
          <t>Próximo paso</t>
        </is>
      </c>
      <c r="AC1" s="4" t="inlineStr">
        <is>
          <t>Notas</t>
        </is>
      </c>
    </row>
    <row r="2" ht="62" customHeight="1">
      <c r="A2" s="5" t="n">
        <v>1</v>
      </c>
      <c r="B2" s="5">
        <f>IF(C2&gt;=5,"Alta",IF(C2&gt;=3,"Media","Baja"))</f>
        <v/>
      </c>
      <c r="C2" s="5">
        <f>IFERROR(VLOOKUP(O2,Puntos!$A$3:$B$12,2,FALSE),0)+IF(L2&gt;=100,2,IF(L2&gt;=30,1,0))+IF(K2&gt;=4.5,1,0)-IF(K2&lt;3,2,0)</f>
        <v/>
      </c>
      <c r="D2" s="6" t="inlineStr">
        <is>
          <t>Cerrajería Herrería Punta Palermo</t>
        </is>
      </c>
      <c r="E2" s="5" t="inlineStr">
        <is>
          <t>Cerrajería</t>
        </is>
      </c>
      <c r="F2" s="6" t="inlineStr">
        <is>
          <t>Palermo</t>
        </is>
      </c>
      <c r="G2" s="6" t="inlineStr">
        <is>
          <t>Jerónimo Salguero 2128</t>
        </is>
      </c>
      <c r="H2" s="5" t="inlineStr">
        <is>
          <t>011 4478-8211</t>
        </is>
      </c>
      <c r="I2" s="5" t="inlineStr">
        <is>
          <t>Fijo</t>
        </is>
      </c>
      <c r="J2" s="5" t="inlineStr">
        <is>
          <t>—</t>
        </is>
      </c>
      <c r="K2" s="7" t="n">
        <v>5</v>
      </c>
      <c r="L2" s="5" t="n">
        <v>227</v>
      </c>
      <c r="M2" s="6" t="inlineStr">
        <is>
          <t>Lun a sáb, cierra 19:30 h</t>
        </is>
      </c>
      <c r="N2" s="6" t="inlineStr">
        <is>
          <t>No tiene (solo publicaciones de Instagram en la ficha)</t>
        </is>
      </c>
      <c r="O2" s="5" t="inlineStr">
        <is>
          <t>Sin web</t>
        </is>
      </c>
      <c r="P2" s="6" t="inlineStr">
        <is>
          <t>Ficha de Google sin sitio web propio.</t>
        </is>
      </c>
      <c r="Q2" s="6" t="inlineStr">
        <is>
          <t>Buscalo en Google Maps: la ficha no tiene botón “Sitio web”.</t>
        </is>
      </c>
      <c r="R2" s="6" t="inlineStr">
        <is>
          <t>227 reseñas de 5 estrellas y sin web: quien busca “cerrajero en Palermo” llega a la competencia que sí tiene página.</t>
        </is>
      </c>
      <c r="S2" s="6" t="inlineStr">
        <is>
          <t>Presencia (o Profesional)</t>
        </is>
      </c>
      <c r="T2" s="6" t="inlineStr">
        <is>
          <t>Visita presencial</t>
        </is>
      </c>
      <c r="U2" s="6" t="inlineStr">
        <is>
          <t>G1 Sin web</t>
        </is>
      </c>
      <c r="V2" s="6" t="inlineStr">
        <is>
          <t>Demo cerrajería</t>
        </is>
      </c>
      <c r="W2" s="8" t="inlineStr">
        <is>
          <t>Sin contactar</t>
        </is>
      </c>
      <c r="X2" s="9" t="n"/>
      <c r="Y2" s="10">
        <f>IF(X2="","",X2+3)</f>
        <v/>
      </c>
      <c r="Z2" s="10">
        <f>IF(X2="","",X2+7)</f>
        <v/>
      </c>
      <c r="AA2" s="10">
        <f>IF(X2="","",X2+14)</f>
        <v/>
      </c>
      <c r="AB2" s="11" t="n"/>
      <c r="AC2" s="11" t="n"/>
    </row>
    <row r="3" ht="62" customHeight="1">
      <c r="A3" s="5" t="n">
        <v>2</v>
      </c>
      <c r="B3" s="5">
        <f>IF(C3&gt;=5,"Alta",IF(C3&gt;=3,"Media","Baja"))</f>
        <v/>
      </c>
      <c r="C3" s="5">
        <f>IFERROR(VLOOKUP(O3,Puntos!$A$3:$B$12,2,FALSE),0)+IF(L3&gt;=100,2,IF(L3&gt;=30,1,0))+IF(K3&gt;=4.5,1,0)-IF(K3&lt;3,2,0)</f>
        <v/>
      </c>
      <c r="D3" s="6" t="inlineStr">
        <is>
          <t>Cerrajería Santi</t>
        </is>
      </c>
      <c r="E3" s="5" t="inlineStr">
        <is>
          <t>Cerrajería</t>
        </is>
      </c>
      <c r="F3" s="6" t="inlineStr">
        <is>
          <t>Palermo</t>
        </is>
      </c>
      <c r="G3" s="6" t="inlineStr">
        <is>
          <t>Paraguay 3492</t>
        </is>
      </c>
      <c r="H3" s="5" t="inlineStr">
        <is>
          <t>011 4826-4313</t>
        </is>
      </c>
      <c r="I3" s="5" t="inlineStr">
        <is>
          <t>Fijo</t>
        </is>
      </c>
      <c r="J3" s="5" t="inlineStr">
        <is>
          <t>—</t>
        </is>
      </c>
      <c r="K3" s="7" t="n">
        <v>4.7</v>
      </c>
      <c r="L3" s="5" t="n">
        <v>83</v>
      </c>
      <c r="M3" s="6" t="inlineStr">
        <is>
          <t>Cierra 18 h</t>
        </is>
      </c>
      <c r="N3" s="6" t="inlineStr">
        <is>
          <t>No tiene</t>
        </is>
      </c>
      <c r="O3" s="5" t="inlineStr">
        <is>
          <t>Sin web</t>
        </is>
      </c>
      <c r="P3" s="6" t="inlineStr">
        <is>
          <t>Ficha de Google sin sitio web.</t>
        </is>
      </c>
      <c r="Q3" s="6" t="inlineStr">
        <is>
          <t>Buscalo en Google Maps: la ficha no tiene botón “Sitio web”.</t>
        </is>
      </c>
      <c r="R3" s="6" t="inlineStr">
        <is>
          <t>Más de 10 años en el barrio y 83 reseñas: una página con servicios y copias de llaves le suma clientes de paso.</t>
        </is>
      </c>
      <c r="S3" s="6" t="inlineStr">
        <is>
          <t>Presencia (o Profesional)</t>
        </is>
      </c>
      <c r="T3" s="6" t="inlineStr">
        <is>
          <t>Visita presencial</t>
        </is>
      </c>
      <c r="U3" s="6" t="inlineStr">
        <is>
          <t>G1 Sin web</t>
        </is>
      </c>
      <c r="V3" s="6" t="inlineStr">
        <is>
          <t>Demo cerrajería</t>
        </is>
      </c>
      <c r="W3" s="8" t="inlineStr">
        <is>
          <t>Sin contactar</t>
        </is>
      </c>
      <c r="X3" s="9" t="n"/>
      <c r="Y3" s="10">
        <f>IF(X3="","",X3+3)</f>
        <v/>
      </c>
      <c r="Z3" s="10">
        <f>IF(X3="","",X3+7)</f>
        <v/>
      </c>
      <c r="AA3" s="10">
        <f>IF(X3="","",X3+14)</f>
        <v/>
      </c>
      <c r="AB3" s="11" t="n"/>
      <c r="AC3" s="11" t="n"/>
    </row>
    <row r="4" ht="62" customHeight="1">
      <c r="A4" s="5" t="n">
        <v>3</v>
      </c>
      <c r="B4" s="5">
        <f>IF(C4&gt;=5,"Alta",IF(C4&gt;=3,"Media","Baja"))</f>
        <v/>
      </c>
      <c r="C4" s="5">
        <f>IFERROR(VLOOKUP(O4,Puntos!$A$3:$B$12,2,FALSE),0)+IF(L4&gt;=100,2,IF(L4&gt;=30,1,0))+IF(K4&gt;=4.5,1,0)-IF(K4&lt;3,2,0)</f>
        <v/>
      </c>
      <c r="D4" s="6" t="inlineStr">
        <is>
          <t>Cerrajería Keys 24 h</t>
        </is>
      </c>
      <c r="E4" s="5" t="inlineStr">
        <is>
          <t>Cerrajería</t>
        </is>
      </c>
      <c r="F4" s="6" t="inlineStr">
        <is>
          <t>Recoleta / Palermo</t>
        </is>
      </c>
      <c r="G4" s="6" t="inlineStr">
        <is>
          <t>Ecuador 1111</t>
        </is>
      </c>
      <c r="H4" s="5" t="inlineStr">
        <is>
          <t>011 15-2634-3514</t>
        </is>
      </c>
      <c r="I4" s="5" t="inlineStr">
        <is>
          <t>Celular</t>
        </is>
      </c>
      <c r="J4" s="12">
        <f>HYPERLINK("https://wa.me/5491126343514","Abrir WhatsApp")</f>
        <v/>
      </c>
      <c r="K4" s="7" t="n">
        <v>4.2</v>
      </c>
      <c r="L4" s="5" t="n">
        <v>123</v>
      </c>
      <c r="M4" s="6" t="inlineStr">
        <is>
          <t>24 h</t>
        </is>
      </c>
      <c r="N4" s="6" t="inlineStr">
        <is>
          <t>No tiene</t>
        </is>
      </c>
      <c r="O4" s="5" t="inlineStr">
        <is>
          <t>Sin web</t>
        </is>
      </c>
      <c r="P4" s="6" t="inlineStr">
        <is>
          <t>Ficha de Google sin sitio web, aunque atiende urgencias 24 h.</t>
        </is>
      </c>
      <c r="Q4" s="6" t="inlineStr">
        <is>
          <t>Buscalo en Google Maps: la ficha no tiene botón “Sitio web”.</t>
        </is>
      </c>
      <c r="R4" s="6" t="inlineStr">
        <is>
          <t>Atiende las 24 horas y no tiene web: de noche la gente busca en el celular y llama al primero que muestra precio y botón de llamar.</t>
        </is>
      </c>
      <c r="S4" s="6" t="inlineStr">
        <is>
          <t>Presencia (o Profesional)</t>
        </is>
      </c>
      <c r="T4" s="6" t="inlineStr">
        <is>
          <t>WhatsApp + visita</t>
        </is>
      </c>
      <c r="U4" s="6" t="inlineStr">
        <is>
          <t>G1 Sin web</t>
        </is>
      </c>
      <c r="V4" s="6" t="inlineStr">
        <is>
          <t>Demo cerrajería</t>
        </is>
      </c>
      <c r="W4" s="8" t="inlineStr">
        <is>
          <t>Sin contactar</t>
        </is>
      </c>
      <c r="X4" s="9" t="n"/>
      <c r="Y4" s="10">
        <f>IF(X4="","",X4+3)</f>
        <v/>
      </c>
      <c r="Z4" s="10">
        <f>IF(X4="","",X4+7)</f>
        <v/>
      </c>
      <c r="AA4" s="10">
        <f>IF(X4="","",X4+14)</f>
        <v/>
      </c>
      <c r="AB4" s="11" t="n"/>
      <c r="AC4" s="11" t="n"/>
    </row>
    <row r="5" ht="62" customHeight="1">
      <c r="A5" s="5" t="n">
        <v>4</v>
      </c>
      <c r="B5" s="5">
        <f>IF(C5&gt;=5,"Alta",IF(C5&gt;=3,"Media","Baja"))</f>
        <v/>
      </c>
      <c r="C5" s="5">
        <f>IFERROR(VLOOKUP(O5,Puntos!$A$3:$B$12,2,FALSE),0)+IF(L5&gt;=100,2,IF(L5&gt;=30,1,0))+IF(K5&gt;=4.5,1,0)-IF(K5&lt;3,2,0)</f>
        <v/>
      </c>
      <c r="D5" s="6" t="inlineStr">
        <is>
          <t>Antigua Cerrajería Norte</t>
        </is>
      </c>
      <c r="E5" s="5" t="inlineStr">
        <is>
          <t>Cerrajería</t>
        </is>
      </c>
      <c r="F5" s="6" t="inlineStr">
        <is>
          <t>Palermo</t>
        </is>
      </c>
      <c r="G5" s="6" t="inlineStr">
        <is>
          <t>Beruti 3611</t>
        </is>
      </c>
      <c r="H5" s="5" t="inlineStr">
        <is>
          <t>011 4831-9673</t>
        </is>
      </c>
      <c r="I5" s="5" t="inlineStr">
        <is>
          <t>Fijo</t>
        </is>
      </c>
      <c r="J5" s="5" t="inlineStr">
        <is>
          <t>—</t>
        </is>
      </c>
      <c r="K5" s="7" t="n">
        <v>4.5</v>
      </c>
      <c r="L5" s="5" t="n">
        <v>70</v>
      </c>
      <c r="M5" s="6" t="inlineStr">
        <is>
          <t>Cierra 18 h</t>
        </is>
      </c>
      <c r="N5" s="6" t="inlineStr">
        <is>
          <t>No tiene</t>
        </is>
      </c>
      <c r="O5" s="5" t="inlineStr">
        <is>
          <t>Sin web</t>
        </is>
      </c>
      <c r="P5" s="6" t="inlineStr">
        <is>
          <t>Ficha de Google sin sitio web.</t>
        </is>
      </c>
      <c r="Q5" s="6" t="inlineStr">
        <is>
          <t>Buscalo en Google Maps: la ficha no tiene botón “Sitio web”.</t>
        </is>
      </c>
      <c r="R5" s="6" t="inlineStr">
        <is>
          <t>Más de 15 años de trayectoria y ninguna web que lo cuente.</t>
        </is>
      </c>
      <c r="S5" s="6" t="inlineStr">
        <is>
          <t>Presencia (o Profesional)</t>
        </is>
      </c>
      <c r="T5" s="6" t="inlineStr">
        <is>
          <t>Visita presencial</t>
        </is>
      </c>
      <c r="U5" s="6" t="inlineStr">
        <is>
          <t>G1 Sin web</t>
        </is>
      </c>
      <c r="V5" s="6" t="inlineStr">
        <is>
          <t>Demo cerrajería</t>
        </is>
      </c>
      <c r="W5" s="8" t="inlineStr">
        <is>
          <t>Sin contactar</t>
        </is>
      </c>
      <c r="X5" s="9" t="n"/>
      <c r="Y5" s="10">
        <f>IF(X5="","",X5+3)</f>
        <v/>
      </c>
      <c r="Z5" s="10">
        <f>IF(X5="","",X5+7)</f>
        <v/>
      </c>
      <c r="AA5" s="10">
        <f>IF(X5="","",X5+14)</f>
        <v/>
      </c>
      <c r="AB5" s="11" t="n"/>
      <c r="AC5" s="11" t="n"/>
    </row>
    <row r="6" ht="62" customHeight="1">
      <c r="A6" s="5" t="n">
        <v>5</v>
      </c>
      <c r="B6" s="5">
        <f>IF(C6&gt;=5,"Alta",IF(C6&gt;=3,"Media","Baja"))</f>
        <v/>
      </c>
      <c r="C6" s="5">
        <f>IFERROR(VLOOKUP(O6,Puntos!$A$3:$B$12,2,FALSE),0)+IF(L6&gt;=100,2,IF(L6&gt;=30,1,0))+IF(K6&gt;=4.5,1,0)-IF(K6&lt;3,2,0)</f>
        <v/>
      </c>
      <c r="D6" s="6" t="inlineStr">
        <is>
          <t>Cerrajería Maciel</t>
        </is>
      </c>
      <c r="E6" s="5" t="inlineStr">
        <is>
          <t>Cerrajería</t>
        </is>
      </c>
      <c r="F6" s="6" t="inlineStr">
        <is>
          <t>Palermo (ver ficha)</t>
        </is>
      </c>
      <c r="G6" s="6" t="inlineStr">
        <is>
          <t>Ver ficha de Google</t>
        </is>
      </c>
      <c r="H6" s="5" t="inlineStr">
        <is>
          <t>011 4829-0881</t>
        </is>
      </c>
      <c r="I6" s="5" t="inlineStr">
        <is>
          <t>Fijo</t>
        </is>
      </c>
      <c r="J6" s="5" t="inlineStr">
        <is>
          <t>—</t>
        </is>
      </c>
      <c r="K6" s="7" t="n">
        <v>4.8</v>
      </c>
      <c r="L6" s="5" t="n">
        <v>32</v>
      </c>
      <c r="M6" s="6" t="inlineStr">
        <is>
          <t>Cierra 19 h</t>
        </is>
      </c>
      <c r="N6" s="6" t="inlineStr">
        <is>
          <t>No tiene</t>
        </is>
      </c>
      <c r="O6" s="5" t="inlineStr">
        <is>
          <t>Sin web</t>
        </is>
      </c>
      <c r="P6" s="6" t="inlineStr">
        <is>
          <t>Ficha de Google sin sitio web.</t>
        </is>
      </c>
      <c r="Q6" s="6" t="inlineStr">
        <is>
          <t>Buscalo en Google Maps: la ficha no tiene botón “Sitio web”.</t>
        </is>
      </c>
      <c r="R6" s="6" t="inlineStr">
        <is>
          <t>4,8 estrellas y más de 10 años: falta solo la web para que lo encuentren fuera de la cuadra.</t>
        </is>
      </c>
      <c r="S6" s="6" t="inlineStr">
        <is>
          <t>Presencia (o Profesional)</t>
        </is>
      </c>
      <c r="T6" s="6" t="inlineStr">
        <is>
          <t>Visita presencial</t>
        </is>
      </c>
      <c r="U6" s="6" t="inlineStr">
        <is>
          <t>G1 Sin web</t>
        </is>
      </c>
      <c r="V6" s="6" t="inlineStr">
        <is>
          <t>Demo cerrajería</t>
        </is>
      </c>
      <c r="W6" s="8" t="inlineStr">
        <is>
          <t>Sin contactar</t>
        </is>
      </c>
      <c r="X6" s="9" t="n"/>
      <c r="Y6" s="10">
        <f>IF(X6="","",X6+3)</f>
        <v/>
      </c>
      <c r="Z6" s="10">
        <f>IF(X6="","",X6+7)</f>
        <v/>
      </c>
      <c r="AA6" s="10">
        <f>IF(X6="","",X6+14)</f>
        <v/>
      </c>
      <c r="AB6" s="11" t="n"/>
      <c r="AC6" s="11" t="n"/>
    </row>
    <row r="7" ht="62" customHeight="1">
      <c r="A7" s="5" t="n">
        <v>6</v>
      </c>
      <c r="B7" s="5">
        <f>IF(C7&gt;=5,"Alta",IF(C7&gt;=3,"Media","Baja"))</f>
        <v/>
      </c>
      <c r="C7" s="5">
        <f>IFERROR(VLOOKUP(O7,Puntos!$A$3:$B$12,2,FALSE),0)+IF(L7&gt;=100,2,IF(L7&gt;=30,1,0))+IF(K7&gt;=4.5,1,0)-IF(K7&lt;3,2,0)</f>
        <v/>
      </c>
      <c r="D7" s="6" t="inlineStr">
        <is>
          <t>Cerrajería Buenos Aires</t>
        </is>
      </c>
      <c r="E7" s="5" t="inlineStr">
        <is>
          <t>Cerrajería</t>
        </is>
      </c>
      <c r="F7" s="6" t="inlineStr">
        <is>
          <t>Recoleta / Barrio Norte</t>
        </is>
      </c>
      <c r="G7" s="6" t="inlineStr">
        <is>
          <t>Av. Pueyrredón 1418</t>
        </is>
      </c>
      <c r="H7" s="5" t="inlineStr">
        <is>
          <t>011 15-4177-3899</t>
        </is>
      </c>
      <c r="I7" s="5" t="inlineStr">
        <is>
          <t>Celular</t>
        </is>
      </c>
      <c r="J7" s="12">
        <f>HYPERLINK("https://wa.me/5491141773899","Abrir WhatsApp")</f>
        <v/>
      </c>
      <c r="K7" s="7" t="n">
        <v>4.5</v>
      </c>
      <c r="L7" s="5" t="n">
        <v>25</v>
      </c>
      <c r="M7" s="6" t="inlineStr">
        <is>
          <t>24 h</t>
        </is>
      </c>
      <c r="N7" s="6" t="inlineStr">
        <is>
          <t>No tiene</t>
        </is>
      </c>
      <c r="O7" s="5" t="inlineStr">
        <is>
          <t>Sin web</t>
        </is>
      </c>
      <c r="P7" s="6" t="inlineStr">
        <is>
          <t>Ficha de Google sin sitio web, atiende 24 h.</t>
        </is>
      </c>
      <c r="Q7" s="6" t="inlineStr">
        <is>
          <t>Buscalo en Google Maps: la ficha no tiene botón “Sitio web”.</t>
        </is>
      </c>
      <c r="R7" s="6" t="inlineStr">
        <is>
          <t>Urgencias 24 h sin web: una landing con botón de llamar y zonas de cobertura es justo lo que se busca a la madrugada.</t>
        </is>
      </c>
      <c r="S7" s="6" t="inlineStr">
        <is>
          <t>Presencia (o Profesional)</t>
        </is>
      </c>
      <c r="T7" s="6" t="inlineStr">
        <is>
          <t>WhatsApp + visita</t>
        </is>
      </c>
      <c r="U7" s="6" t="inlineStr">
        <is>
          <t>G1 Sin web</t>
        </is>
      </c>
      <c r="V7" s="6" t="inlineStr">
        <is>
          <t>Demo cerrajería</t>
        </is>
      </c>
      <c r="W7" s="8" t="inlineStr">
        <is>
          <t>Sin contactar</t>
        </is>
      </c>
      <c r="X7" s="9" t="n"/>
      <c r="Y7" s="10">
        <f>IF(X7="","",X7+3)</f>
        <v/>
      </c>
      <c r="Z7" s="10">
        <f>IF(X7="","",X7+7)</f>
        <v/>
      </c>
      <c r="AA7" s="10">
        <f>IF(X7="","",X7+14)</f>
        <v/>
      </c>
      <c r="AB7" s="11" t="n"/>
      <c r="AC7" s="11" t="n"/>
    </row>
    <row r="8" ht="62" customHeight="1">
      <c r="A8" s="5" t="n">
        <v>7</v>
      </c>
      <c r="B8" s="5">
        <f>IF(C8&gt;=5,"Alta",IF(C8&gt;=3,"Media","Baja"))</f>
        <v/>
      </c>
      <c r="C8" s="5">
        <f>IFERROR(VLOOKUP(O8,Puntos!$A$3:$B$12,2,FALSE),0)+IF(L8&gt;=100,2,IF(L8&gt;=30,1,0))+IF(K8&gt;=4.5,1,0)-IF(K8&lt;3,2,0)</f>
        <v/>
      </c>
      <c r="D8" s="6" t="inlineStr">
        <is>
          <t>Cerrajería Santa Fe Emergencias 24 h</t>
        </is>
      </c>
      <c r="E8" s="5" t="inlineStr">
        <is>
          <t>Cerrajería</t>
        </is>
      </c>
      <c r="F8" s="6" t="inlineStr">
        <is>
          <t>Palermo / Barrio Norte</t>
        </is>
      </c>
      <c r="G8" s="6" t="inlineStr">
        <is>
          <t>Av. Santa Fe 3112, local 3</t>
        </is>
      </c>
      <c r="H8" s="5" t="inlineStr">
        <is>
          <t>011 4826-8656</t>
        </is>
      </c>
      <c r="I8" s="5" t="inlineStr">
        <is>
          <t>Fijo</t>
        </is>
      </c>
      <c r="J8" s="5" t="inlineStr">
        <is>
          <t>—</t>
        </is>
      </c>
      <c r="K8" s="7" t="n">
        <v>3.9</v>
      </c>
      <c r="L8" s="5" t="n">
        <v>27</v>
      </c>
      <c r="M8" s="6" t="inlineStr">
        <is>
          <t>Cierra 20:30 h</t>
        </is>
      </c>
      <c r="N8" s="6" t="inlineStr">
        <is>
          <t>No tiene</t>
        </is>
      </c>
      <c r="O8" s="5" t="inlineStr">
        <is>
          <t>Sin web</t>
        </is>
      </c>
      <c r="P8" s="6" t="inlineStr">
        <is>
          <t>Ficha de Google sin sitio web.</t>
        </is>
      </c>
      <c r="Q8" s="6" t="inlineStr">
        <is>
          <t>Buscalo en Google Maps: la ficha no tiene botón “Sitio web”.</t>
        </is>
      </c>
      <c r="R8" s="6" t="inlineStr">
        <is>
          <t>Sobre Av. Santa Fe y con “emergencias” en el nombre, pero sin web donde mostrar precios y horarios.</t>
        </is>
      </c>
      <c r="S8" s="6" t="inlineStr">
        <is>
          <t>Presencia (o Profesional)</t>
        </is>
      </c>
      <c r="T8" s="6" t="inlineStr">
        <is>
          <t>Visita presencial</t>
        </is>
      </c>
      <c r="U8" s="6" t="inlineStr">
        <is>
          <t>G1 Sin web</t>
        </is>
      </c>
      <c r="V8" s="6" t="inlineStr">
        <is>
          <t>Demo cerrajería</t>
        </is>
      </c>
      <c r="W8" s="8" t="inlineStr">
        <is>
          <t>Sin contactar</t>
        </is>
      </c>
      <c r="X8" s="9" t="n"/>
      <c r="Y8" s="10">
        <f>IF(X8="","",X8+3)</f>
        <v/>
      </c>
      <c r="Z8" s="10">
        <f>IF(X8="","",X8+7)</f>
        <v/>
      </c>
      <c r="AA8" s="10">
        <f>IF(X8="","",X8+14)</f>
        <v/>
      </c>
      <c r="AB8" s="11" t="n"/>
      <c r="AC8" s="11" t="n"/>
    </row>
    <row r="9" ht="62" customHeight="1">
      <c r="A9" s="5" t="n">
        <v>8</v>
      </c>
      <c r="B9" s="5">
        <f>IF(C9&gt;=5,"Alta",IF(C9&gt;=3,"Media","Baja"))</f>
        <v/>
      </c>
      <c r="C9" s="5">
        <f>IFERROR(VLOOKUP(O9,Puntos!$A$3:$B$12,2,FALSE),0)+IF(L9&gt;=100,2,IF(L9&gt;=30,1,0))+IF(K9&gt;=4.5,1,0)-IF(K9&lt;3,2,0)</f>
        <v/>
      </c>
      <c r="D9" s="6" t="inlineStr">
        <is>
          <t>Cerrajería Alfredo</t>
        </is>
      </c>
      <c r="E9" s="5" t="inlineStr">
        <is>
          <t>Cerrajería</t>
        </is>
      </c>
      <c r="F9" s="6" t="inlineStr">
        <is>
          <t>Palermo</t>
        </is>
      </c>
      <c r="G9" s="6" t="inlineStr">
        <is>
          <t>Paunero 2747</t>
        </is>
      </c>
      <c r="H9" s="5" t="inlineStr">
        <is>
          <t>011 3094-9611</t>
        </is>
      </c>
      <c r="I9" s="5" t="inlineStr">
        <is>
          <t>Celular (probable)</t>
        </is>
      </c>
      <c r="J9" s="12">
        <f>HYPERLINK("https://wa.me/5491130949611","Abrir WhatsApp")</f>
        <v/>
      </c>
      <c r="K9" s="7" t="n">
        <v>5</v>
      </c>
      <c r="L9" s="5" t="n">
        <v>9</v>
      </c>
      <c r="M9" s="6" t="inlineStr">
        <is>
          <t>Cierra 19 h</t>
        </is>
      </c>
      <c r="N9" s="6" t="inlineStr">
        <is>
          <t>No tiene</t>
        </is>
      </c>
      <c r="O9" s="5" t="inlineStr">
        <is>
          <t>Sin web</t>
        </is>
      </c>
      <c r="P9" s="6" t="inlineStr">
        <is>
          <t>Ficha de Google sin sitio web y pocas reseñas.</t>
        </is>
      </c>
      <c r="Q9" s="6" t="inlineStr">
        <is>
          <t>Buscalo en Google Maps: la ficha no tiene botón “Sitio web”.</t>
        </is>
      </c>
      <c r="R9" s="6" t="inlineStr">
        <is>
          <t>5 estrellas con pocas reseñas: una web y un QR para pedir reseñas lo hacen crecer rápido.</t>
        </is>
      </c>
      <c r="S9" s="6" t="inlineStr">
        <is>
          <t>Presencia (o Profesional)</t>
        </is>
      </c>
      <c r="T9" s="6" t="inlineStr">
        <is>
          <t>WhatsApp + visita</t>
        </is>
      </c>
      <c r="U9" s="6" t="inlineStr">
        <is>
          <t>G1 Sin web</t>
        </is>
      </c>
      <c r="V9" s="6" t="inlineStr">
        <is>
          <t>Demo cerrajería</t>
        </is>
      </c>
      <c r="W9" s="8" t="inlineStr">
        <is>
          <t>Sin contactar</t>
        </is>
      </c>
      <c r="X9" s="9" t="n"/>
      <c r="Y9" s="10">
        <f>IF(X9="","",X9+3)</f>
        <v/>
      </c>
      <c r="Z9" s="10">
        <f>IF(X9="","",X9+7)</f>
        <v/>
      </c>
      <c r="AA9" s="10">
        <f>IF(X9="","",X9+14)</f>
        <v/>
      </c>
      <c r="AB9" s="11" t="n"/>
      <c r="AC9" s="11" t="n"/>
    </row>
    <row r="10" ht="62" customHeight="1">
      <c r="A10" s="5" t="n">
        <v>9</v>
      </c>
      <c r="B10" s="5">
        <f>IF(C10&gt;=5,"Alta",IF(C10&gt;=3,"Media","Baja"))</f>
        <v/>
      </c>
      <c r="C10" s="5">
        <f>IFERROR(VLOOKUP(O10,Puntos!$A$3:$B$12,2,FALSE),0)+IF(L10&gt;=100,2,IF(L10&gt;=30,1,0))+IF(K10&gt;=4.5,1,0)-IF(K10&lt;3,2,0)</f>
        <v/>
      </c>
      <c r="D10" s="6" t="inlineStr">
        <is>
          <t>Cerrajería Mi Service</t>
        </is>
      </c>
      <c r="E10" s="5" t="inlineStr">
        <is>
          <t>Cerrajería</t>
        </is>
      </c>
      <c r="F10" s="6" t="inlineStr">
        <is>
          <t>Palermo (ver ficha)</t>
        </is>
      </c>
      <c r="G10" s="6" t="inlineStr">
        <is>
          <t>Ver ficha de Google</t>
        </is>
      </c>
      <c r="H10" s="5" t="inlineStr">
        <is>
          <t>011 5501-7718</t>
        </is>
      </c>
      <c r="I10" s="5" t="inlineStr">
        <is>
          <t>Fijo</t>
        </is>
      </c>
      <c r="J10" s="5" t="inlineStr">
        <is>
          <t>—</t>
        </is>
      </c>
      <c r="K10" s="7" t="n">
        <v>3</v>
      </c>
      <c r="L10" s="5" t="n">
        <v>8</v>
      </c>
      <c r="M10" s="6" t="inlineStr">
        <is>
          <t>Cierra 18:30 h</t>
        </is>
      </c>
      <c r="N10" s="6" t="inlineStr">
        <is>
          <t>No tiene</t>
        </is>
      </c>
      <c r="O10" s="5" t="inlineStr">
        <is>
          <t>Sin web</t>
        </is>
      </c>
      <c r="P10" s="6" t="inlineStr">
        <is>
          <t>Ficha de Google sin sitio web y categoría genérica (“Comercio”).</t>
        </is>
      </c>
      <c r="Q10" s="6" t="inlineStr">
        <is>
          <t>Buscalo en Google Maps: la ficha no tiene botón “Sitio web”.</t>
        </is>
      </c>
      <c r="R10" s="6" t="inlineStr">
        <is>
          <t>Su ficha ni siquiera dice que es cerrajería: web propia más ficha bien configurada.</t>
        </is>
      </c>
      <c r="S10" s="6" t="inlineStr">
        <is>
          <t>Presencia (o Profesional)</t>
        </is>
      </c>
      <c r="T10" s="6" t="inlineStr">
        <is>
          <t>Visita presencial</t>
        </is>
      </c>
      <c r="U10" s="6" t="inlineStr">
        <is>
          <t>G1 Sin web</t>
        </is>
      </c>
      <c r="V10" s="6" t="inlineStr">
        <is>
          <t>Demo cerrajería</t>
        </is>
      </c>
      <c r="W10" s="8" t="inlineStr">
        <is>
          <t>Sin contactar</t>
        </is>
      </c>
      <c r="X10" s="9" t="n"/>
      <c r="Y10" s="10">
        <f>IF(X10="","",X10+3)</f>
        <v/>
      </c>
      <c r="Z10" s="10">
        <f>IF(X10="","",X10+7)</f>
        <v/>
      </c>
      <c r="AA10" s="10">
        <f>IF(X10="","",X10+14)</f>
        <v/>
      </c>
      <c r="AB10" s="11" t="n"/>
      <c r="AC10" s="11" t="n"/>
    </row>
    <row r="11" ht="62" customHeight="1">
      <c r="A11" s="5" t="n">
        <v>10</v>
      </c>
      <c r="B11" s="5">
        <f>IF(C11&gt;=5,"Alta",IF(C11&gt;=3,"Media","Baja"))</f>
        <v/>
      </c>
      <c r="C11" s="5">
        <f>IFERROR(VLOOKUP(O11,Puntos!$A$3:$B$12,2,FALSE),0)+IF(L11&gt;=100,2,IF(L11&gt;=30,1,0))+IF(K11&gt;=4.5,1,0)-IF(K11&lt;3,2,0)</f>
        <v/>
      </c>
      <c r="D11" s="6" t="inlineStr">
        <is>
          <t>Cerrajería Palermo (Bulnes)</t>
        </is>
      </c>
      <c r="E11" s="5" t="inlineStr">
        <is>
          <t>Cerrajería</t>
        </is>
      </c>
      <c r="F11" s="6" t="inlineStr">
        <is>
          <t>Palermo</t>
        </is>
      </c>
      <c r="G11" s="6" t="inlineStr">
        <is>
          <t>Bulnes 1854</t>
        </is>
      </c>
      <c r="H11" s="5" t="inlineStr">
        <is>
          <t>011 4823-9720</t>
        </is>
      </c>
      <c r="I11" s="5" t="inlineStr">
        <is>
          <t>Fijo</t>
        </is>
      </c>
      <c r="J11" s="5" t="inlineStr">
        <is>
          <t>—</t>
        </is>
      </c>
      <c r="K11" s="7" t="n">
        <v>2.2</v>
      </c>
      <c r="L11" s="5" t="n">
        <v>13</v>
      </c>
      <c r="M11" s="6" t="inlineStr">
        <is>
          <t>Cierra 20 h</t>
        </is>
      </c>
      <c r="N11" s="6" t="inlineStr">
        <is>
          <t>No tiene</t>
        </is>
      </c>
      <c r="O11" s="5" t="inlineStr">
        <is>
          <t>Sin web</t>
        </is>
      </c>
      <c r="P11" s="6" t="inlineStr">
        <is>
          <t>Ficha sin sitio web y puntaje bajo (2,2).</t>
        </is>
      </c>
      <c r="Q11" s="6" t="inlineStr">
        <is>
          <t>Buscalo en Google Maps: la ficha no tiene botón “Sitio web”.</t>
        </is>
      </c>
      <c r="R11" s="6" t="inlineStr">
        <is>
          <t>Puntaje bajo: antes de la web le conviene un sistema de reseñas. Prioridad baja.</t>
        </is>
      </c>
      <c r="S11" s="6" t="inlineStr">
        <is>
          <t>Presencia (o Profesional)</t>
        </is>
      </c>
      <c r="T11" s="6" t="inlineStr">
        <is>
          <t>Visita presencial</t>
        </is>
      </c>
      <c r="U11" s="6" t="inlineStr">
        <is>
          <t>G1 Sin web</t>
        </is>
      </c>
      <c r="V11" s="6" t="inlineStr">
        <is>
          <t>Demo cerrajería</t>
        </is>
      </c>
      <c r="W11" s="8" t="inlineStr">
        <is>
          <t>Sin contactar</t>
        </is>
      </c>
      <c r="X11" s="9" t="n"/>
      <c r="Y11" s="10">
        <f>IF(X11="","",X11+3)</f>
        <v/>
      </c>
      <c r="Z11" s="10">
        <f>IF(X11="","",X11+7)</f>
        <v/>
      </c>
      <c r="AA11" s="10">
        <f>IF(X11="","",X11+14)</f>
        <v/>
      </c>
      <c r="AB11" s="11" t="n"/>
      <c r="AC11" s="11" t="n"/>
    </row>
    <row r="12" ht="62" customHeight="1">
      <c r="A12" s="5" t="n">
        <v>11</v>
      </c>
      <c r="B12" s="5">
        <f>IF(C12&gt;=5,"Alta",IF(C12&gt;=3,"Media","Baja"))</f>
        <v/>
      </c>
      <c r="C12" s="5">
        <f>IFERROR(VLOOKUP(O12,Puntos!$A$3:$B$12,2,FALSE),0)+IF(L12&gt;=100,2,IF(L12&gt;=30,1,0))+IF(K12&gt;=4.5,1,0)-IF(K12&lt;3,2,0)</f>
        <v/>
      </c>
      <c r="D12" s="6" t="inlineStr">
        <is>
          <t>Cerrajería Romero</t>
        </is>
      </c>
      <c r="E12" s="5" t="inlineStr">
        <is>
          <t>Cerrajería</t>
        </is>
      </c>
      <c r="F12" s="6" t="inlineStr">
        <is>
          <t>Palermo</t>
        </is>
      </c>
      <c r="G12" s="6" t="inlineStr">
        <is>
          <t>Aráoz 2396</t>
        </is>
      </c>
      <c r="H12" s="5" t="inlineStr">
        <is>
          <t>—</t>
        </is>
      </c>
      <c r="I12" s="5" t="inlineStr">
        <is>
          <t>Sin teléfono</t>
        </is>
      </c>
      <c r="J12" s="5" t="inlineStr">
        <is>
          <t>—</t>
        </is>
      </c>
      <c r="K12" s="7" t="n">
        <v>2.2</v>
      </c>
      <c r="L12" s="5" t="n">
        <v>18</v>
      </c>
      <c r="M12" s="6" t="inlineStr">
        <is>
          <t>Cierra 24 h</t>
        </is>
      </c>
      <c r="N12" s="6" t="inlineStr">
        <is>
          <t>No tiene</t>
        </is>
      </c>
      <c r="O12" s="5" t="inlineStr">
        <is>
          <t>Sin web</t>
        </is>
      </c>
      <c r="P12" s="6" t="inlineStr">
        <is>
          <t>Ficha sin sitio web, sin teléfono y puntaje bajo.</t>
        </is>
      </c>
      <c r="Q12" s="6" t="inlineStr">
        <is>
          <t>Buscalo en Google Maps: la ficha no tiene botón “Sitio web”.</t>
        </is>
      </c>
      <c r="R12" s="6" t="inlineStr">
        <is>
          <t>Ni siquiera tiene teléfono en Google: solo visita presencial. Prioridad baja.</t>
        </is>
      </c>
      <c r="S12" s="6" t="inlineStr">
        <is>
          <t>Presencia (o Profesional)</t>
        </is>
      </c>
      <c r="T12" s="6" t="inlineStr">
        <is>
          <t>Visita presencial</t>
        </is>
      </c>
      <c r="U12" s="6" t="inlineStr">
        <is>
          <t>G1 Sin web</t>
        </is>
      </c>
      <c r="V12" s="6" t="inlineStr">
        <is>
          <t>Demo cerrajería</t>
        </is>
      </c>
      <c r="W12" s="8" t="inlineStr">
        <is>
          <t>Sin contactar</t>
        </is>
      </c>
      <c r="X12" s="9" t="n"/>
      <c r="Y12" s="10">
        <f>IF(X12="","",X12+3)</f>
        <v/>
      </c>
      <c r="Z12" s="10">
        <f>IF(X12="","",X12+7)</f>
        <v/>
      </c>
      <c r="AA12" s="10">
        <f>IF(X12="","",X12+14)</f>
        <v/>
      </c>
      <c r="AB12" s="11" t="n"/>
      <c r="AC12" s="11" t="n"/>
    </row>
    <row r="13" ht="62" customHeight="1">
      <c r="A13" s="5" t="n">
        <v>12</v>
      </c>
      <c r="B13" s="5">
        <f>IF(C13&gt;=5,"Alta",IF(C13&gt;=3,"Media","Baja"))</f>
        <v/>
      </c>
      <c r="C13" s="5">
        <f>IFERROR(VLOOKUP(O13,Puntos!$A$3:$B$12,2,FALSE),0)+IF(L13&gt;=100,2,IF(L13&gt;=30,1,0))+IF(K13&gt;=4.5,1,0)-IF(K13&lt;3,2,0)</f>
        <v/>
      </c>
      <c r="D13" s="6" t="inlineStr">
        <is>
          <t>Cerrajería Manu</t>
        </is>
      </c>
      <c r="E13" s="5" t="inlineStr">
        <is>
          <t>Cerrajería</t>
        </is>
      </c>
      <c r="F13" s="6" t="inlineStr">
        <is>
          <t>Palermo</t>
        </is>
      </c>
      <c r="G13" s="6" t="inlineStr">
        <is>
          <t>Av. Gral. Las Heras 3895</t>
        </is>
      </c>
      <c r="H13" s="5" t="inlineStr">
        <is>
          <t>011 3569-3218</t>
        </is>
      </c>
      <c r="I13" s="5" t="inlineStr">
        <is>
          <t>Celular (probable)</t>
        </is>
      </c>
      <c r="J13" s="12">
        <f>HYPERLINK("https://wa.me/5491135693218","Abrir WhatsApp")</f>
        <v/>
      </c>
      <c r="K13" s="7" t="n">
        <v>4.9</v>
      </c>
      <c r="L13" s="5" t="n">
        <v>54</v>
      </c>
      <c r="M13" s="6" t="inlineStr">
        <is>
          <t>24 h</t>
        </is>
      </c>
      <c r="N13" s="6" t="inlineStr">
        <is>
          <t>Solo un link a WhatsApp</t>
        </is>
      </c>
      <c r="O13" s="5" t="inlineStr">
        <is>
          <t>Solo redes</t>
        </is>
      </c>
      <c r="P13" s="6" t="inlineStr">
        <is>
          <t>El “sitio web” de su ficha es un link de WhatsApp: no tiene página.</t>
        </is>
      </c>
      <c r="Q13" s="6" t="inlineStr">
        <is>
          <t>En la ficha de Google, el botón “Sitio web” lleva a una red social o a WhatsApp.</t>
        </is>
      </c>
      <c r="R13" s="6" t="inlineStr">
        <is>
          <t>Ya entendió que WhatsApp vende; una landing con ese mismo botón lo pone primero en Google.</t>
        </is>
      </c>
      <c r="S13" s="6" t="inlineStr">
        <is>
          <t>Presencia</t>
        </is>
      </c>
      <c r="T13" s="6" t="inlineStr">
        <is>
          <t>WhatsApp + visita</t>
        </is>
      </c>
      <c r="U13" s="6" t="inlineStr">
        <is>
          <t>G4 Solo redes</t>
        </is>
      </c>
      <c r="V13" s="6" t="inlineStr">
        <is>
          <t>Demo cerrajería</t>
        </is>
      </c>
      <c r="W13" s="8" t="inlineStr">
        <is>
          <t>Sin contactar</t>
        </is>
      </c>
      <c r="X13" s="9" t="n"/>
      <c r="Y13" s="10">
        <f>IF(X13="","",X13+3)</f>
        <v/>
      </c>
      <c r="Z13" s="10">
        <f>IF(X13="","",X13+7)</f>
        <v/>
      </c>
      <c r="AA13" s="10">
        <f>IF(X13="","",X13+14)</f>
        <v/>
      </c>
      <c r="AB13" s="11" t="n"/>
      <c r="AC13" s="11" t="n"/>
    </row>
    <row r="14" ht="62" customHeight="1">
      <c r="A14" s="5" t="n">
        <v>13</v>
      </c>
      <c r="B14" s="5">
        <f>IF(C14&gt;=5,"Alta",IF(C14&gt;=3,"Media","Baja"))</f>
        <v/>
      </c>
      <c r="C14" s="5">
        <f>IFERROR(VLOOKUP(O14,Puntos!$A$3:$B$12,2,FALSE),0)+IF(L14&gt;=100,2,IF(L14&gt;=30,1,0))+IF(K14&gt;=4.5,1,0)-IF(K14&lt;3,2,0)</f>
        <v/>
      </c>
      <c r="D14" s="6" t="inlineStr">
        <is>
          <t>Cerrajería Sam-se</t>
        </is>
      </c>
      <c r="E14" s="5" t="inlineStr">
        <is>
          <t>Cerrajería</t>
        </is>
      </c>
      <c r="F14" s="6" t="inlineStr">
        <is>
          <t>Palermo</t>
        </is>
      </c>
      <c r="G14" s="6" t="inlineStr">
        <is>
          <t>Julián Álvarez 1417</t>
        </is>
      </c>
      <c r="H14" s="5" t="inlineStr">
        <is>
          <t>011 4832-5751</t>
        </is>
      </c>
      <c r="I14" s="5" t="inlineStr">
        <is>
          <t>Fijo</t>
        </is>
      </c>
      <c r="J14" s="5" t="inlineStr">
        <is>
          <t>—</t>
        </is>
      </c>
      <c r="K14" s="7" t="n">
        <v>4.7</v>
      </c>
      <c r="L14" s="5" t="n">
        <v>110</v>
      </c>
      <c r="M14" s="6" t="inlineStr">
        <is>
          <t>Cierra 18 h</t>
        </is>
      </c>
      <c r="N14" s="6" t="inlineStr">
        <is>
          <t>Solo Facebook</t>
        </is>
      </c>
      <c r="O14" s="5" t="inlineStr">
        <is>
          <t>Solo redes</t>
        </is>
      </c>
      <c r="P14" s="6" t="inlineStr">
        <is>
          <t>El “sitio web” de su ficha es una página de Facebook.</t>
        </is>
      </c>
      <c r="Q14" s="6" t="inlineStr">
        <is>
          <t>En la ficha de Google, el botón “Sitio web” lleva a una red social o a WhatsApp.</t>
        </is>
      </c>
      <c r="R14" s="6" t="inlineStr">
        <is>
          <t>110 reseñas y una página de Facebook como web: transmite menos confianza de la que se ganó.</t>
        </is>
      </c>
      <c r="S14" s="6" t="inlineStr">
        <is>
          <t>Presencia</t>
        </is>
      </c>
      <c r="T14" s="6" t="inlineStr">
        <is>
          <t>Visita presencial</t>
        </is>
      </c>
      <c r="U14" s="6" t="inlineStr">
        <is>
          <t>G4 Solo redes</t>
        </is>
      </c>
      <c r="V14" s="6" t="inlineStr">
        <is>
          <t>Demo cerrajería</t>
        </is>
      </c>
      <c r="W14" s="8" t="inlineStr">
        <is>
          <t>Sin contactar</t>
        </is>
      </c>
      <c r="X14" s="9" t="n"/>
      <c r="Y14" s="10">
        <f>IF(X14="","",X14+3)</f>
        <v/>
      </c>
      <c r="Z14" s="10">
        <f>IF(X14="","",X14+7)</f>
        <v/>
      </c>
      <c r="AA14" s="10">
        <f>IF(X14="","",X14+14)</f>
        <v/>
      </c>
      <c r="AB14" s="11" t="n"/>
      <c r="AC14" s="11" t="n"/>
    </row>
    <row r="15" ht="62" customHeight="1">
      <c r="A15" s="5" t="n">
        <v>14</v>
      </c>
      <c r="B15" s="5">
        <f>IF(C15&gt;=5,"Alta",IF(C15&gt;=3,"Media","Baja"))</f>
        <v/>
      </c>
      <c r="C15" s="5">
        <f>IFERROR(VLOOKUP(O15,Puntos!$A$3:$B$12,2,FALSE),0)+IF(L15&gt;=100,2,IF(L15&gt;=30,1,0))+IF(K15&gt;=4.5,1,0)-IF(K15&lt;3,2,0)</f>
        <v/>
      </c>
      <c r="D15" s="6" t="inlineStr">
        <is>
          <t>Cerrajería Ezequiel</t>
        </is>
      </c>
      <c r="E15" s="5" t="inlineStr">
        <is>
          <t>Cerrajería</t>
        </is>
      </c>
      <c r="F15" s="6" t="inlineStr">
        <is>
          <t>Palermo</t>
        </is>
      </c>
      <c r="G15" s="6" t="inlineStr">
        <is>
          <t>Av. Raúl Scalabrini Ortiz 1607</t>
        </is>
      </c>
      <c r="H15" s="5" t="inlineStr">
        <is>
          <t>011 4833-9323</t>
        </is>
      </c>
      <c r="I15" s="5" t="inlineStr">
        <is>
          <t>Fijo</t>
        </is>
      </c>
      <c r="J15" s="5" t="inlineStr">
        <is>
          <t>—</t>
        </is>
      </c>
      <c r="K15" s="7" t="n">
        <v>4.8</v>
      </c>
      <c r="L15" s="5" t="n">
        <v>40</v>
      </c>
      <c r="M15" s="6" t="inlineStr">
        <is>
          <t>Cierra 20 h</t>
        </is>
      </c>
      <c r="N15" s="6" t="inlineStr">
        <is>
          <t>Solo Instagram</t>
        </is>
      </c>
      <c r="O15" s="5" t="inlineStr">
        <is>
          <t>Solo redes</t>
        </is>
      </c>
      <c r="P15" s="6" t="inlineStr">
        <is>
          <t>El “sitio web” de su ficha es su Instagram.</t>
        </is>
      </c>
      <c r="Q15" s="6" t="inlineStr">
        <is>
          <t>En la ficha de Google, el botón “Sitio web” lleva a una red social o a WhatsApp.</t>
        </is>
      </c>
      <c r="R15" s="6" t="inlineStr">
        <is>
          <t>Instagram no aparece cuando buscan “cerrajero cerca”; la web sí.</t>
        </is>
      </c>
      <c r="S15" s="6" t="inlineStr">
        <is>
          <t>Presencia</t>
        </is>
      </c>
      <c r="T15" s="6" t="inlineStr">
        <is>
          <t>Visita presencial</t>
        </is>
      </c>
      <c r="U15" s="6" t="inlineStr">
        <is>
          <t>G4 Solo redes</t>
        </is>
      </c>
      <c r="V15" s="6" t="inlineStr">
        <is>
          <t>Demo cerrajería</t>
        </is>
      </c>
      <c r="W15" s="8" t="inlineStr">
        <is>
          <t>Sin contactar</t>
        </is>
      </c>
      <c r="X15" s="9" t="n"/>
      <c r="Y15" s="10">
        <f>IF(X15="","",X15+3)</f>
        <v/>
      </c>
      <c r="Z15" s="10">
        <f>IF(X15="","",X15+7)</f>
        <v/>
      </c>
      <c r="AA15" s="10">
        <f>IF(X15="","",X15+14)</f>
        <v/>
      </c>
      <c r="AB15" s="11" t="n"/>
      <c r="AC15" s="11" t="n"/>
    </row>
    <row r="16" ht="62" customHeight="1">
      <c r="A16" s="5" t="n">
        <v>15</v>
      </c>
      <c r="B16" s="5">
        <f>IF(C16&gt;=5,"Alta",IF(C16&gt;=3,"Media","Baja"))</f>
        <v/>
      </c>
      <c r="C16" s="5">
        <f>IFERROR(VLOOKUP(O16,Puntos!$A$3:$B$12,2,FALSE),0)+IF(L16&gt;=100,2,IF(L16&gt;=30,1,0))+IF(K16&gt;=4.5,1,0)-IF(K16&lt;3,2,0)</f>
        <v/>
      </c>
      <c r="D16" s="6" t="inlineStr">
        <is>
          <t>Cerrajería del Auto Trevisani</t>
        </is>
      </c>
      <c r="E16" s="5" t="inlineStr">
        <is>
          <t>Cerrajería</t>
        </is>
      </c>
      <c r="F16" s="6" t="inlineStr">
        <is>
          <t>Palermo (ver ficha)</t>
        </is>
      </c>
      <c r="G16" s="6" t="inlineStr">
        <is>
          <t>José A. Cabrera 3876</t>
        </is>
      </c>
      <c r="H16" s="5" t="inlineStr">
        <is>
          <t>011 6368-0095</t>
        </is>
      </c>
      <c r="I16" s="5" t="inlineStr">
        <is>
          <t>Celular (probable)</t>
        </is>
      </c>
      <c r="J16" s="12">
        <f>HYPERLINK("https://wa.me/5491163680095","Abrir WhatsApp")</f>
        <v/>
      </c>
      <c r="K16" s="7" t="n">
        <v>4.9</v>
      </c>
      <c r="L16" s="5" t="n">
        <v>952</v>
      </c>
      <c r="M16" s="6" t="inlineStr">
        <is>
          <t>24 h</t>
        </is>
      </c>
      <c r="N16" s="6" t="inlineStr">
        <is>
          <t>Tiene un link en Google (verificar)</t>
        </is>
      </c>
      <c r="O16" s="5" t="inlineStr">
        <is>
          <t>Verificar</t>
        </is>
      </c>
      <c r="P16" s="6" t="inlineStr">
        <is>
          <t>Tiene un link en la ficha pero no pude confirmar si es web propia o red social.</t>
        </is>
      </c>
      <c r="Q16" s="6" t="inlineStr">
        <is>
          <t>Abrí el link de su ficha de Google y anotá qué es.</t>
        </is>
      </c>
      <c r="R16" s="6" t="inlineStr">
        <is>
          <t>952 reseñas: es un negocio grande. Revisá su web antes de contactar; si es vieja, va Pack Profesional.</t>
        </is>
      </c>
      <c r="S16" s="6" t="inlineStr">
        <is>
          <t>Según lo que encuentres</t>
        </is>
      </c>
      <c r="T16" s="6" t="inlineStr">
        <is>
          <t>WhatsApp + visita</t>
        </is>
      </c>
      <c r="U16" s="6" t="inlineStr">
        <is>
          <t>Revisar antes</t>
        </is>
      </c>
      <c r="V16" s="6" t="inlineStr">
        <is>
          <t>Demo cerrajería</t>
        </is>
      </c>
      <c r="W16" s="8" t="inlineStr">
        <is>
          <t>Sin contactar</t>
        </is>
      </c>
      <c r="X16" s="9" t="n"/>
      <c r="Y16" s="10">
        <f>IF(X16="","",X16+3)</f>
        <v/>
      </c>
      <c r="Z16" s="10">
        <f>IF(X16="","",X16+7)</f>
        <v/>
      </c>
      <c r="AA16" s="10">
        <f>IF(X16="","",X16+14)</f>
        <v/>
      </c>
      <c r="AB16" s="11" t="n"/>
      <c r="AC16" s="11" t="n"/>
    </row>
    <row r="17" ht="62" customHeight="1">
      <c r="A17" s="5" t="n">
        <v>16</v>
      </c>
      <c r="B17" s="5">
        <f>IF(C17&gt;=5,"Alta",IF(C17&gt;=3,"Media","Baja"))</f>
        <v/>
      </c>
      <c r="C17" s="5">
        <f>IFERROR(VLOOKUP(O17,Puntos!$A$3:$B$12,2,FALSE),0)+IF(L17&gt;=100,2,IF(L17&gt;=30,1,0))+IF(K17&gt;=4.5,1,0)-IF(K17&lt;3,2,0)</f>
        <v/>
      </c>
      <c r="D17" s="6" t="inlineStr">
        <is>
          <t>Cerrajería Borges</t>
        </is>
      </c>
      <c r="E17" s="5" t="inlineStr">
        <is>
          <t>Cerrajería</t>
        </is>
      </c>
      <c r="F17" s="6" t="inlineStr">
        <is>
          <t>Palermo</t>
        </is>
      </c>
      <c r="G17" s="6" t="inlineStr">
        <is>
          <t>Jorge Luis Borges 2475</t>
        </is>
      </c>
      <c r="H17" s="5" t="inlineStr">
        <is>
          <t>011 7167-3377</t>
        </is>
      </c>
      <c r="I17" s="5" t="inlineStr">
        <is>
          <t>Celular (probable)</t>
        </is>
      </c>
      <c r="J17" s="12">
        <f>HYPERLINK("https://wa.me/5491171673377","Abrir WhatsApp")</f>
        <v/>
      </c>
      <c r="K17" s="7" t="n">
        <v>4.6</v>
      </c>
      <c r="L17" s="5" t="n">
        <v>91</v>
      </c>
      <c r="M17" s="6" t="inlineStr">
        <is>
          <t>24 h</t>
        </is>
      </c>
      <c r="N17" s="6" t="inlineStr">
        <is>
          <t>Tiene un link en Google (verificar)</t>
        </is>
      </c>
      <c r="O17" s="5" t="inlineStr">
        <is>
          <t>Verificar</t>
        </is>
      </c>
      <c r="P17" s="6" t="inlineStr">
        <is>
          <t>Tiene un link en la ficha pero no pude confirmar si es web propia o red social.</t>
        </is>
      </c>
      <c r="Q17" s="6" t="inlineStr">
        <is>
          <t>Abrí el link de su ficha de Google y anotá qué es.</t>
        </is>
      </c>
      <c r="R17" s="6" t="inlineStr">
        <is>
          <t>Revisá el link de su ficha: si es Instagram o WhatsApp, es un prospecto ideal.</t>
        </is>
      </c>
      <c r="S17" s="6" t="inlineStr">
        <is>
          <t>Según lo que encuentres</t>
        </is>
      </c>
      <c r="T17" s="6" t="inlineStr">
        <is>
          <t>WhatsApp + visita</t>
        </is>
      </c>
      <c r="U17" s="6" t="inlineStr">
        <is>
          <t>Revisar antes</t>
        </is>
      </c>
      <c r="V17" s="6" t="inlineStr">
        <is>
          <t>Demo cerrajería</t>
        </is>
      </c>
      <c r="W17" s="8" t="inlineStr">
        <is>
          <t>Sin contactar</t>
        </is>
      </c>
      <c r="X17" s="9" t="n"/>
      <c r="Y17" s="10">
        <f>IF(X17="","",X17+3)</f>
        <v/>
      </c>
      <c r="Z17" s="10">
        <f>IF(X17="","",X17+7)</f>
        <v/>
      </c>
      <c r="AA17" s="10">
        <f>IF(X17="","",X17+14)</f>
        <v/>
      </c>
      <c r="AB17" s="11" t="n"/>
      <c r="AC17" s="11" t="n"/>
    </row>
    <row r="18" ht="62" customHeight="1">
      <c r="A18" s="5" t="n">
        <v>17</v>
      </c>
      <c r="B18" s="5">
        <f>IF(C18&gt;=5,"Alta",IF(C18&gt;=3,"Media","Baja"))</f>
        <v/>
      </c>
      <c r="C18" s="5">
        <f>IFERROR(VLOOKUP(O18,Puntos!$A$3:$B$12,2,FALSE),0)+IF(L18&gt;=100,2,IF(L18&gt;=30,1,0))+IF(K18&gt;=4.5,1,0)-IF(K18&lt;3,2,0)</f>
        <v/>
      </c>
      <c r="D18" s="6" t="inlineStr">
        <is>
          <t>Consultorio Odontológico Dres. Gallo</t>
        </is>
      </c>
      <c r="E18" s="5" t="inlineStr">
        <is>
          <t>Odontología</t>
        </is>
      </c>
      <c r="F18" s="6" t="inlineStr">
        <is>
          <t>Palermo</t>
        </is>
      </c>
      <c r="G18" s="6" t="inlineStr">
        <is>
          <t>Jerónimo Salguero 2402</t>
        </is>
      </c>
      <c r="H18" s="5" t="inlineStr">
        <is>
          <t>011 6502-8364</t>
        </is>
      </c>
      <c r="I18" s="5" t="inlineStr">
        <is>
          <t>Celular (probable)</t>
        </is>
      </c>
      <c r="J18" s="12">
        <f>HYPERLINK("https://wa.me/5491165028364","Abrir WhatsApp")</f>
        <v/>
      </c>
      <c r="K18" s="7" t="n">
        <v>4.7</v>
      </c>
      <c r="L18" s="5" t="n">
        <v>230</v>
      </c>
      <c r="M18" s="6" t="inlineStr">
        <is>
          <t>Cierra 18 h</t>
        </is>
      </c>
      <c r="N18" s="6" t="inlineStr">
        <is>
          <t>No tiene</t>
        </is>
      </c>
      <c r="O18" s="5" t="inlineStr">
        <is>
          <t>Sin web</t>
        </is>
      </c>
      <c r="P18" s="6" t="inlineStr">
        <is>
          <t>Ficha de Google sin sitio web.</t>
        </is>
      </c>
      <c r="Q18" s="6" t="inlineStr">
        <is>
          <t>Buscalo en Google Maps: la ficha no tiene botón “Sitio web”.</t>
        </is>
      </c>
      <c r="R18" s="6" t="inlineStr">
        <is>
          <t>230 reseñas y sin web: los pacientes nuevos que comparan consultorios no pueden ver tratamientos ni obras sociales.</t>
        </is>
      </c>
      <c r="S18" s="6" t="inlineStr">
        <is>
          <t>Presencia (o Profesional)</t>
        </is>
      </c>
      <c r="T18" s="6" t="inlineStr">
        <is>
          <t>WhatsApp + visita</t>
        </is>
      </c>
      <c r="U18" s="6" t="inlineStr">
        <is>
          <t>G1 Sin web</t>
        </is>
      </c>
      <c r="V18" s="6" t="inlineStr">
        <is>
          <t>Demo odontología</t>
        </is>
      </c>
      <c r="W18" s="8" t="inlineStr">
        <is>
          <t>Sin contactar</t>
        </is>
      </c>
      <c r="X18" s="9" t="n"/>
      <c r="Y18" s="10">
        <f>IF(X18="","",X18+3)</f>
        <v/>
      </c>
      <c r="Z18" s="10">
        <f>IF(X18="","",X18+7)</f>
        <v/>
      </c>
      <c r="AA18" s="10">
        <f>IF(X18="","",X18+14)</f>
        <v/>
      </c>
      <c r="AB18" s="11" t="n"/>
      <c r="AC18" s="11" t="n"/>
    </row>
    <row r="19" ht="62" customHeight="1">
      <c r="A19" s="5" t="n">
        <v>18</v>
      </c>
      <c r="B19" s="5">
        <f>IF(C19&gt;=5,"Alta",IF(C19&gt;=3,"Media","Baja"))</f>
        <v/>
      </c>
      <c r="C19" s="5">
        <f>IFERROR(VLOOKUP(O19,Puntos!$A$3:$B$12,2,FALSE),0)+IF(L19&gt;=100,2,IF(L19&gt;=30,1,0))+IF(K19&gt;=4.5,1,0)-IF(K19&lt;3,2,0)</f>
        <v/>
      </c>
      <c r="D19" s="6" t="inlineStr">
        <is>
          <t>Odontología Dentaloffice</t>
        </is>
      </c>
      <c r="E19" s="5" t="inlineStr">
        <is>
          <t>Odontología</t>
        </is>
      </c>
      <c r="F19" s="6" t="inlineStr">
        <is>
          <t>Palermo</t>
        </is>
      </c>
      <c r="G19" s="6" t="inlineStr">
        <is>
          <t>Gurruchaga 2267</t>
        </is>
      </c>
      <c r="H19" s="5" t="inlineStr">
        <is>
          <t>011 2374-5336</t>
        </is>
      </c>
      <c r="I19" s="5" t="inlineStr">
        <is>
          <t>Celular (probable)</t>
        </is>
      </c>
      <c r="J19" s="12">
        <f>HYPERLINK("https://wa.me/5491123745336","Abrir WhatsApp")</f>
        <v/>
      </c>
      <c r="K19" s="7" t="n">
        <v>5</v>
      </c>
      <c r="L19" s="5" t="n">
        <v>124</v>
      </c>
      <c r="M19" s="6" t="inlineStr">
        <is>
          <t>Cierra 19:30 h</t>
        </is>
      </c>
      <c r="N19" s="6" t="inlineStr">
        <is>
          <t>No tiene</t>
        </is>
      </c>
      <c r="O19" s="5" t="inlineStr">
        <is>
          <t>Sin web</t>
        </is>
      </c>
      <c r="P19" s="6" t="inlineStr">
        <is>
          <t>Ficha de Google sin sitio web.</t>
        </is>
      </c>
      <c r="Q19" s="6" t="inlineStr">
        <is>
          <t>Buscalo en Google Maps: la ficha no tiene botón “Sitio web”.</t>
        </is>
      </c>
      <c r="R19" s="6" t="inlineStr">
        <is>
          <t>124 reseñas de 5 estrellas: con una web y turnos por WhatsApp convierte esa reputación en pacientes.</t>
        </is>
      </c>
      <c r="S19" s="6" t="inlineStr">
        <is>
          <t>Presencia (o Profesional)</t>
        </is>
      </c>
      <c r="T19" s="6" t="inlineStr">
        <is>
          <t>WhatsApp + visita</t>
        </is>
      </c>
      <c r="U19" s="6" t="inlineStr">
        <is>
          <t>G1 Sin web</t>
        </is>
      </c>
      <c r="V19" s="6" t="inlineStr">
        <is>
          <t>Demo odontología</t>
        </is>
      </c>
      <c r="W19" s="8" t="inlineStr">
        <is>
          <t>Sin contactar</t>
        </is>
      </c>
      <c r="X19" s="9" t="n"/>
      <c r="Y19" s="10">
        <f>IF(X19="","",X19+3)</f>
        <v/>
      </c>
      <c r="Z19" s="10">
        <f>IF(X19="","",X19+7)</f>
        <v/>
      </c>
      <c r="AA19" s="10">
        <f>IF(X19="","",X19+14)</f>
        <v/>
      </c>
      <c r="AB19" s="11" t="n"/>
      <c r="AC19" s="11" t="n"/>
    </row>
    <row r="20" ht="62" customHeight="1">
      <c r="A20" s="5" t="n">
        <v>19</v>
      </c>
      <c r="B20" s="5">
        <f>IF(C20&gt;=5,"Alta",IF(C20&gt;=3,"Media","Baja"))</f>
        <v/>
      </c>
      <c r="C20" s="5">
        <f>IFERROR(VLOOKUP(O20,Puntos!$A$3:$B$12,2,FALSE),0)+IF(L20&gt;=100,2,IF(L20&gt;=30,1,0))+IF(K20&gt;=4.5,1,0)-IF(K20&lt;3,2,0)</f>
        <v/>
      </c>
      <c r="D20" s="6" t="inlineStr">
        <is>
          <t>Palermo Dental (Güemes)</t>
        </is>
      </c>
      <c r="E20" s="5" t="inlineStr">
        <is>
          <t>Odontología</t>
        </is>
      </c>
      <c r="F20" s="6" t="inlineStr">
        <is>
          <t>Palermo</t>
        </is>
      </c>
      <c r="G20" s="6" t="inlineStr">
        <is>
          <t>Güemes 4474</t>
        </is>
      </c>
      <c r="H20" s="5" t="inlineStr">
        <is>
          <t>011 4946-0817</t>
        </is>
      </c>
      <c r="I20" s="5" t="inlineStr">
        <is>
          <t>Fijo</t>
        </is>
      </c>
      <c r="J20" s="5" t="inlineStr">
        <is>
          <t>—</t>
        </is>
      </c>
      <c r="K20" s="7" t="n">
        <v>5</v>
      </c>
      <c r="L20" s="5" t="n">
        <v>51</v>
      </c>
      <c r="M20" s="6" t="inlineStr">
        <is>
          <t>Cierra 20 h</t>
        </is>
      </c>
      <c r="N20" s="6" t="inlineStr">
        <is>
          <t>No tiene</t>
        </is>
      </c>
      <c r="O20" s="5" t="inlineStr">
        <is>
          <t>Sin web</t>
        </is>
      </c>
      <c r="P20" s="6" t="inlineStr">
        <is>
          <t>Ficha de Google sin sitio web.</t>
        </is>
      </c>
      <c r="Q20" s="6" t="inlineStr">
        <is>
          <t>Buscalo en Google Maps: la ficha no tiene botón “Sitio web”.</t>
        </is>
      </c>
      <c r="R20" s="6" t="inlineStr">
        <is>
          <t>Mismo nombre que otros consultorios de la zona: sin web propia es fácil que lo confundan.</t>
        </is>
      </c>
      <c r="S20" s="6" t="inlineStr">
        <is>
          <t>Presencia (o Profesional)</t>
        </is>
      </c>
      <c r="T20" s="6" t="inlineStr">
        <is>
          <t>Visita presencial</t>
        </is>
      </c>
      <c r="U20" s="6" t="inlineStr">
        <is>
          <t>G1 Sin web</t>
        </is>
      </c>
      <c r="V20" s="6" t="inlineStr">
        <is>
          <t>Demo odontología</t>
        </is>
      </c>
      <c r="W20" s="8" t="inlineStr">
        <is>
          <t>Sin contactar</t>
        </is>
      </c>
      <c r="X20" s="9" t="n"/>
      <c r="Y20" s="10">
        <f>IF(X20="","",X20+3)</f>
        <v/>
      </c>
      <c r="Z20" s="10">
        <f>IF(X20="","",X20+7)</f>
        <v/>
      </c>
      <c r="AA20" s="10">
        <f>IF(X20="","",X20+14)</f>
        <v/>
      </c>
      <c r="AB20" s="11" t="n"/>
      <c r="AC20" s="11" t="n"/>
    </row>
    <row r="21" ht="62" customHeight="1">
      <c r="A21" s="5" t="n">
        <v>20</v>
      </c>
      <c r="B21" s="5">
        <f>IF(C21&gt;=5,"Alta",IF(C21&gt;=3,"Media","Baja"))</f>
        <v/>
      </c>
      <c r="C21" s="5">
        <f>IFERROR(VLOOKUP(O21,Puntos!$A$3:$B$12,2,FALSE),0)+IF(L21&gt;=100,2,IF(L21&gt;=30,1,0))+IF(K21&gt;=4.5,1,0)-IF(K21&lt;3,2,0)</f>
        <v/>
      </c>
      <c r="D21" s="6" t="inlineStr">
        <is>
          <t>DLT Odontología</t>
        </is>
      </c>
      <c r="E21" s="5" t="inlineStr">
        <is>
          <t>Odontología</t>
        </is>
      </c>
      <c r="F21" s="6" t="inlineStr">
        <is>
          <t>Palermo</t>
        </is>
      </c>
      <c r="G21" s="6" t="inlineStr">
        <is>
          <t>Soler 3644</t>
        </is>
      </c>
      <c r="H21" s="5" t="inlineStr">
        <is>
          <t>011 15-2391-9556</t>
        </is>
      </c>
      <c r="I21" s="5" t="inlineStr">
        <is>
          <t>Celular</t>
        </is>
      </c>
      <c r="J21" s="12">
        <f>HYPERLINK("https://wa.me/5491123919556","Abrir WhatsApp")</f>
        <v/>
      </c>
      <c r="K21" s="7" t="n">
        <v>4.9</v>
      </c>
      <c r="L21" s="5" t="n">
        <v>312</v>
      </c>
      <c r="M21" s="6" t="inlineStr">
        <is>
          <t>Cierra 20 h</t>
        </is>
      </c>
      <c r="N21" s="6" t="inlineStr">
        <is>
          <t>Solo un link a WhatsApp</t>
        </is>
      </c>
      <c r="O21" s="5" t="inlineStr">
        <is>
          <t>Solo redes</t>
        </is>
      </c>
      <c r="P21" s="6" t="inlineStr">
        <is>
          <t>El “sitio web” de su ficha es un link de WhatsApp.</t>
        </is>
      </c>
      <c r="Q21" s="6" t="inlineStr">
        <is>
          <t>En la ficha de Google, el botón “Sitio web” lleva a una red social o a WhatsApp.</t>
        </is>
      </c>
      <c r="R21" s="6" t="inlineStr">
        <is>
          <t>312 reseñas y ninguna página: con la demo del armador de turnos ve el salto enseguida.</t>
        </is>
      </c>
      <c r="S21" s="6" t="inlineStr">
        <is>
          <t>Presencia</t>
        </is>
      </c>
      <c r="T21" s="6" t="inlineStr">
        <is>
          <t>WhatsApp + visita</t>
        </is>
      </c>
      <c r="U21" s="6" t="inlineStr">
        <is>
          <t>G4 Solo redes</t>
        </is>
      </c>
      <c r="V21" s="6" t="inlineStr">
        <is>
          <t>Demo odontología</t>
        </is>
      </c>
      <c r="W21" s="8" t="inlineStr">
        <is>
          <t>Sin contactar</t>
        </is>
      </c>
      <c r="X21" s="9" t="n"/>
      <c r="Y21" s="10">
        <f>IF(X21="","",X21+3)</f>
        <v/>
      </c>
      <c r="Z21" s="10">
        <f>IF(X21="","",X21+7)</f>
        <v/>
      </c>
      <c r="AA21" s="10">
        <f>IF(X21="","",X21+14)</f>
        <v/>
      </c>
      <c r="AB21" s="11" t="n"/>
      <c r="AC21" s="11" t="n"/>
    </row>
    <row r="22" ht="62" customHeight="1">
      <c r="A22" s="5" t="n">
        <v>21</v>
      </c>
      <c r="B22" s="5">
        <f>IF(C22&gt;=5,"Alta",IF(C22&gt;=3,"Media","Baja"))</f>
        <v/>
      </c>
      <c r="C22" s="5">
        <f>IFERROR(VLOOKUP(O22,Puntos!$A$3:$B$12,2,FALSE),0)+IF(L22&gt;=100,2,IF(L22&gt;=30,1,0))+IF(K22&gt;=4.5,1,0)-IF(K22&lt;3,2,0)</f>
        <v/>
      </c>
      <c r="D22" s="6" t="inlineStr">
        <is>
          <t>BYM Odontología</t>
        </is>
      </c>
      <c r="E22" s="5" t="inlineStr">
        <is>
          <t>Odontología</t>
        </is>
      </c>
      <c r="F22" s="6" t="inlineStr">
        <is>
          <t>Palermo</t>
        </is>
      </c>
      <c r="G22" s="6" t="inlineStr">
        <is>
          <t>Ortiz de Ocampo 2561</t>
        </is>
      </c>
      <c r="H22" s="5" t="inlineStr">
        <is>
          <t>011 7723-5061</t>
        </is>
      </c>
      <c r="I22" s="5" t="inlineStr">
        <is>
          <t>Celular (probable)</t>
        </is>
      </c>
      <c r="J22" s="12">
        <f>HYPERLINK("https://wa.me/5491177235061","Abrir WhatsApp")</f>
        <v/>
      </c>
      <c r="K22" s="7" t="n">
        <v>4.8</v>
      </c>
      <c r="L22" s="5" t="n">
        <v>67</v>
      </c>
      <c r="M22" s="6" t="inlineStr">
        <is>
          <t>Cierra 20:30 h</t>
        </is>
      </c>
      <c r="N22" s="6" t="inlineStr">
        <is>
          <t>Solo Instagram</t>
        </is>
      </c>
      <c r="O22" s="5" t="inlineStr">
        <is>
          <t>Solo redes</t>
        </is>
      </c>
      <c r="P22" s="6" t="inlineStr">
        <is>
          <t>El “sitio web” de su ficha es su Instagram.</t>
        </is>
      </c>
      <c r="Q22" s="6" t="inlineStr">
        <is>
          <t>En la ficha de Google, el botón “Sitio web” lleva a una red social o a WhatsApp.</t>
        </is>
      </c>
      <c r="R22" s="6" t="inlineStr">
        <is>
          <t>Hace implantes, ortodoncia y ATM: tratamientos caros que el paciente investiga en Google antes de decidir.</t>
        </is>
      </c>
      <c r="S22" s="6" t="inlineStr">
        <is>
          <t>Presencia</t>
        </is>
      </c>
      <c r="T22" s="6" t="inlineStr">
        <is>
          <t>WhatsApp + visita</t>
        </is>
      </c>
      <c r="U22" s="6" t="inlineStr">
        <is>
          <t>G4 Solo redes</t>
        </is>
      </c>
      <c r="V22" s="6" t="inlineStr">
        <is>
          <t>Demo odontología</t>
        </is>
      </c>
      <c r="W22" s="8" t="inlineStr">
        <is>
          <t>Sin contactar</t>
        </is>
      </c>
      <c r="X22" s="9" t="n"/>
      <c r="Y22" s="10">
        <f>IF(X22="","",X22+3)</f>
        <v/>
      </c>
      <c r="Z22" s="10">
        <f>IF(X22="","",X22+7)</f>
        <v/>
      </c>
      <c r="AA22" s="10">
        <f>IF(X22="","",X22+14)</f>
        <v/>
      </c>
      <c r="AB22" s="11" t="n"/>
      <c r="AC22" s="11" t="n"/>
    </row>
    <row r="23" ht="62" customHeight="1">
      <c r="A23" s="5" t="n">
        <v>22</v>
      </c>
      <c r="B23" s="5">
        <f>IF(C23&gt;=5,"Alta",IF(C23&gt;=3,"Media","Baja"))</f>
        <v/>
      </c>
      <c r="C23" s="5">
        <f>IFERROR(VLOOKUP(O23,Puntos!$A$3:$B$12,2,FALSE),0)+IF(L23&gt;=100,2,IF(L23&gt;=30,1,0))+IF(K23&gt;=4.5,1,0)-IF(K23&lt;3,2,0)</f>
        <v/>
      </c>
      <c r="D23" s="6" t="inlineStr">
        <is>
          <t>Dental Palermo (Charcas)</t>
        </is>
      </c>
      <c r="E23" s="5" t="inlineStr">
        <is>
          <t>Odontología</t>
        </is>
      </c>
      <c r="F23" s="6" t="inlineStr">
        <is>
          <t>Palermo</t>
        </is>
      </c>
      <c r="G23" s="6" t="inlineStr">
        <is>
          <t>Charcas 3127</t>
        </is>
      </c>
      <c r="H23" s="5" t="inlineStr">
        <is>
          <t>011 3794-5890</t>
        </is>
      </c>
      <c r="I23" s="5" t="inlineStr">
        <is>
          <t>Celular (probable)</t>
        </is>
      </c>
      <c r="J23" s="12">
        <f>HYPERLINK("https://wa.me/5491137945890","Abrir WhatsApp")</f>
        <v/>
      </c>
      <c r="K23" s="7" t="n">
        <v>4.9</v>
      </c>
      <c r="L23" s="5" t="n">
        <v>234</v>
      </c>
      <c r="M23" s="6" t="inlineStr">
        <is>
          <t>Abre 8:30 h</t>
        </is>
      </c>
      <c r="N23" s="6" t="inlineStr">
        <is>
          <t>dentalpalermo.com.ar</t>
        </is>
      </c>
      <c r="O23" s="5" t="inlineStr">
        <is>
          <t>Web lenta</t>
        </is>
      </c>
      <c r="P23" s="6" t="inlineStr">
        <is>
          <t>La web tardó unos 26 segundos en cargar en la revisión del 20/10/2026.</t>
        </is>
      </c>
      <c r="Q23" s="6" t="inlineStr">
        <is>
          <t>Abrí la web en tu celular con datos móviles y cronometrá; probala en PageSpeed Insights.</t>
        </is>
      </c>
      <c r="R23" s="6" t="inlineStr">
        <is>
          <t>Una web que tarda 26 segundos pierde a casi todos los que entran desde el celular.</t>
        </is>
      </c>
      <c r="S23" s="6" t="inlineStr">
        <is>
          <t>Profesional (rehacer)</t>
        </is>
      </c>
      <c r="T23" s="6" t="inlineStr">
        <is>
          <t>WhatsApp + visita</t>
        </is>
      </c>
      <c r="U23" s="6" t="inlineStr">
        <is>
          <t>G3 Web lenta o caída</t>
        </is>
      </c>
      <c r="V23" s="6" t="inlineStr">
        <is>
          <t>Demo odontología</t>
        </is>
      </c>
      <c r="W23" s="8" t="inlineStr">
        <is>
          <t>Sin contactar</t>
        </is>
      </c>
      <c r="X23" s="9" t="n"/>
      <c r="Y23" s="10">
        <f>IF(X23="","",X23+3)</f>
        <v/>
      </c>
      <c r="Z23" s="10">
        <f>IF(X23="","",X23+7)</f>
        <v/>
      </c>
      <c r="AA23" s="10">
        <f>IF(X23="","",X23+14)</f>
        <v/>
      </c>
      <c r="AB23" s="11" t="n"/>
      <c r="AC23" s="11" t="n"/>
    </row>
    <row r="24" ht="62" customHeight="1">
      <c r="A24" s="5" t="n">
        <v>23</v>
      </c>
      <c r="B24" s="5">
        <f>IF(C24&gt;=5,"Alta",IF(C24&gt;=3,"Media","Baja"))</f>
        <v/>
      </c>
      <c r="C24" s="5">
        <f>IFERROR(VLOOKUP(O24,Puntos!$A$3:$B$12,2,FALSE),0)+IF(L24&gt;=100,2,IF(L24&gt;=30,1,0))+IF(K24&gt;=4.5,1,0)-IF(K24&lt;3,2,0)</f>
        <v/>
      </c>
      <c r="D24" s="6" t="inlineStr">
        <is>
          <t>Malva Odontología</t>
        </is>
      </c>
      <c r="E24" s="5" t="inlineStr">
        <is>
          <t>Odontología</t>
        </is>
      </c>
      <c r="F24" s="6" t="inlineStr">
        <is>
          <t>Palermo</t>
        </is>
      </c>
      <c r="G24" s="6" t="inlineStr">
        <is>
          <t>Av. Cnel. Díaz 1737</t>
        </is>
      </c>
      <c r="H24" s="5" t="inlineStr">
        <is>
          <t>011 6111-2894</t>
        </is>
      </c>
      <c r="I24" s="5" t="inlineStr">
        <is>
          <t>Celular (probable)</t>
        </is>
      </c>
      <c r="J24" s="12">
        <f>HYPERLINK("https://wa.me/5491161112894","Abrir WhatsApp")</f>
        <v/>
      </c>
      <c r="K24" s="7" t="n">
        <v>5</v>
      </c>
      <c r="L24" s="5" t="n">
        <v>209</v>
      </c>
      <c r="M24" s="6" t="inlineStr">
        <is>
          <t>Cierra 18 h</t>
        </is>
      </c>
      <c r="N24" s="6" t="inlineStr">
        <is>
          <t>malvaodontologia.com.ar</t>
        </is>
      </c>
      <c r="O24" s="5" t="inlineStr">
        <is>
          <t>Web caída</t>
        </is>
      </c>
      <c r="P24" s="6" t="inlineStr">
        <is>
          <t>La web no cargó en la revisión del 20/10/2026 (verificalo desde otra red antes de contactar).</t>
        </is>
      </c>
      <c r="Q24" s="6" t="inlineStr">
        <is>
          <t>Abrila desde tu celular con datos móviles (no la red de la facultad).</t>
        </is>
      </c>
      <c r="R24" s="6" t="inlineStr">
        <is>
          <t>Si confirmás que no carga: 209 reseñas de 5 estrellas que mandan a una web caída.</t>
        </is>
      </c>
      <c r="S24" s="6" t="inlineStr">
        <is>
          <t>Rescate o Profesional</t>
        </is>
      </c>
      <c r="T24" s="6" t="inlineStr">
        <is>
          <t>WhatsApp + visita</t>
        </is>
      </c>
      <c r="U24" s="6" t="inlineStr">
        <is>
          <t>G3 Web lenta o caída</t>
        </is>
      </c>
      <c r="V24" s="6" t="inlineStr">
        <is>
          <t>Demo odontología</t>
        </is>
      </c>
      <c r="W24" s="8" t="inlineStr">
        <is>
          <t>Sin contactar</t>
        </is>
      </c>
      <c r="X24" s="9" t="n"/>
      <c r="Y24" s="10">
        <f>IF(X24="","",X24+3)</f>
        <v/>
      </c>
      <c r="Z24" s="10">
        <f>IF(X24="","",X24+7)</f>
        <v/>
      </c>
      <c r="AA24" s="10">
        <f>IF(X24="","",X24+14)</f>
        <v/>
      </c>
      <c r="AB24" s="11" t="n"/>
      <c r="AC24" s="11" t="n"/>
    </row>
    <row r="25" ht="62" customHeight="1">
      <c r="A25" s="5" t="n">
        <v>24</v>
      </c>
      <c r="B25" s="5">
        <f>IF(C25&gt;=5,"Alta",IF(C25&gt;=3,"Media","Baja"))</f>
        <v/>
      </c>
      <c r="C25" s="5">
        <f>IFERROR(VLOOKUP(O25,Puntos!$A$3:$B$12,2,FALSE),0)+IF(L25&gt;=100,2,IF(L25&gt;=30,1,0))+IF(K25&gt;=4.5,1,0)-IF(K25&lt;3,2,0)</f>
        <v/>
      </c>
      <c r="D25" s="6" t="inlineStr">
        <is>
          <t>Urgencias Odontológicas Palermo</t>
        </is>
      </c>
      <c r="E25" s="5" t="inlineStr">
        <is>
          <t>Odontología</t>
        </is>
      </c>
      <c r="F25" s="6" t="inlineStr">
        <is>
          <t>Palermo</t>
        </is>
      </c>
      <c r="G25" s="6" t="inlineStr">
        <is>
          <t>Bonpland 1240</t>
        </is>
      </c>
      <c r="H25" s="5" t="inlineStr">
        <is>
          <t>011 5494-8595</t>
        </is>
      </c>
      <c r="I25" s="5" t="inlineStr">
        <is>
          <t>Fijo</t>
        </is>
      </c>
      <c r="J25" s="5" t="inlineStr">
        <is>
          <t>—</t>
        </is>
      </c>
      <c r="K25" s="7" t="n">
        <v>4.2</v>
      </c>
      <c r="L25" s="5" t="n">
        <v>124</v>
      </c>
      <c r="M25" s="6" t="inlineStr">
        <is>
          <t>24 h</t>
        </is>
      </c>
      <c r="N25" s="6" t="inlineStr">
        <is>
          <t>odontologiapalermo.com (Jimdo)</t>
        </is>
      </c>
      <c r="O25" s="5" t="inlineStr">
        <is>
          <t>Web básica</t>
        </is>
      </c>
      <c r="P25" s="6" t="inlineStr">
        <is>
          <t>Web armada con un constructor gratuito (Jimdo).</t>
        </is>
      </c>
      <c r="Q25" s="6" t="inlineStr">
        <is>
          <t>Mirá la web en el celular y en PageSpeed Insights.</t>
        </is>
      </c>
      <c r="R25" s="6" t="inlineStr">
        <is>
          <t>Atiende 24 h: una web rápida con botón de llamada y WhatsApp vale más que una plantilla genérica.</t>
        </is>
      </c>
      <c r="S25" s="6" t="inlineStr">
        <is>
          <t>Profesional</t>
        </is>
      </c>
      <c r="T25" s="6" t="inlineStr">
        <is>
          <t>Visita presencial</t>
        </is>
      </c>
      <c r="U25" s="6" t="inlineStr">
        <is>
          <t>G5 Web vieja</t>
        </is>
      </c>
      <c r="V25" s="6" t="inlineStr">
        <is>
          <t>Demo odontología</t>
        </is>
      </c>
      <c r="W25" s="8" t="inlineStr">
        <is>
          <t>Sin contactar</t>
        </is>
      </c>
      <c r="X25" s="9" t="n"/>
      <c r="Y25" s="10">
        <f>IF(X25="","",X25+3)</f>
        <v/>
      </c>
      <c r="Z25" s="10">
        <f>IF(X25="","",X25+7)</f>
        <v/>
      </c>
      <c r="AA25" s="10">
        <f>IF(X25="","",X25+14)</f>
        <v/>
      </c>
      <c r="AB25" s="11" t="n"/>
      <c r="AC25" s="11" t="n"/>
    </row>
    <row r="26" ht="62" customHeight="1">
      <c r="A26" s="5" t="n">
        <v>25</v>
      </c>
      <c r="B26" s="5">
        <f>IF(C26&gt;=5,"Alta",IF(C26&gt;=3,"Media","Baja"))</f>
        <v/>
      </c>
      <c r="C26" s="5">
        <f>IFERROR(VLOOKUP(O26,Puntos!$A$3:$B$12,2,FALSE),0)+IF(L26&gt;=100,2,IF(L26&gt;=30,1,0))+IF(K26&gt;=4.5,1,0)-IF(K26&lt;3,2,0)</f>
        <v/>
      </c>
      <c r="D26" s="6" t="inlineStr">
        <is>
          <t>Dental Arcos</t>
        </is>
      </c>
      <c r="E26" s="5" t="inlineStr">
        <is>
          <t>Odontología</t>
        </is>
      </c>
      <c r="F26" s="6" t="inlineStr">
        <is>
          <t>Palermo</t>
        </is>
      </c>
      <c r="G26" s="6" t="inlineStr">
        <is>
          <t>Fitz Roy 1988</t>
        </is>
      </c>
      <c r="H26" s="5" t="inlineStr">
        <is>
          <t>011 15-3340-3962</t>
        </is>
      </c>
      <c r="I26" s="5" t="inlineStr">
        <is>
          <t>Celular</t>
        </is>
      </c>
      <c r="J26" s="12">
        <f>HYPERLINK("https://wa.me/5491133403962","Abrir WhatsApp")</f>
        <v/>
      </c>
      <c r="K26" s="7" t="n">
        <v>5</v>
      </c>
      <c r="L26" s="5" t="n">
        <v>75</v>
      </c>
      <c r="M26" s="6" t="inlineStr">
        <is>
          <t>Cierra 20 h</t>
        </is>
      </c>
      <c r="N26" s="6" t="inlineStr">
        <is>
          <t>dentalarcos.com.ar</t>
        </is>
      </c>
      <c r="O26" s="5" t="inlineStr">
        <is>
          <t>Sin HTTPS forzado</t>
        </is>
      </c>
      <c r="P26" s="6" t="inlineStr">
        <is>
          <t>La versión http no redirige a https: quien entra así ve “No seguro”.</t>
        </is>
      </c>
      <c r="Q26" s="6" t="inlineStr">
        <is>
          <t>Escribí la dirección con http:// y fijate si el navegador dice “No seguro”.</t>
        </is>
      </c>
      <c r="R26" s="6" t="inlineStr">
        <is>
          <t>Arreglo técnico chico: buena puerta de entrada para el plan de mantenimiento.</t>
        </is>
      </c>
      <c r="S26" s="6" t="inlineStr">
        <is>
          <t>Plan Esencial</t>
        </is>
      </c>
      <c r="T26" s="6" t="inlineStr">
        <is>
          <t>WhatsApp + visita</t>
        </is>
      </c>
      <c r="U26" s="6" t="inlineStr">
        <is>
          <t>G5 Web vieja</t>
        </is>
      </c>
      <c r="V26" s="6" t="inlineStr">
        <is>
          <t>Demo odontología</t>
        </is>
      </c>
      <c r="W26" s="8" t="inlineStr">
        <is>
          <t>Sin contactar</t>
        </is>
      </c>
      <c r="X26" s="9" t="n"/>
      <c r="Y26" s="10">
        <f>IF(X26="","",X26+3)</f>
        <v/>
      </c>
      <c r="Z26" s="10">
        <f>IF(X26="","",X26+7)</f>
        <v/>
      </c>
      <c r="AA26" s="10">
        <f>IF(X26="","",X26+14)</f>
        <v/>
      </c>
      <c r="AB26" s="11" t="n"/>
      <c r="AC26" s="11" t="n"/>
    </row>
    <row r="27" ht="62" customHeight="1">
      <c r="A27" s="5" t="n">
        <v>26</v>
      </c>
      <c r="B27" s="5">
        <f>IF(C27&gt;=5,"Alta",IF(C27&gt;=3,"Media","Baja"))</f>
        <v/>
      </c>
      <c r="C27" s="5">
        <f>IFERROR(VLOOKUP(O27,Puntos!$A$3:$B$12,2,FALSE),0)+IF(L27&gt;=100,2,IF(L27&gt;=30,1,0))+IF(K27&gt;=4.5,1,0)-IF(K27&lt;3,2,0)</f>
        <v/>
      </c>
      <c r="D27" s="6" t="inlineStr">
        <is>
          <t>Palermo Dental Studio</t>
        </is>
      </c>
      <c r="E27" s="5" t="inlineStr">
        <is>
          <t>Odontología</t>
        </is>
      </c>
      <c r="F27" s="6" t="inlineStr">
        <is>
          <t>Palermo</t>
        </is>
      </c>
      <c r="G27" s="6" t="inlineStr">
        <is>
          <t>Rocamora 4343</t>
        </is>
      </c>
      <c r="H27" s="5" t="inlineStr">
        <is>
          <t>011 5420-2735</t>
        </is>
      </c>
      <c r="I27" s="5" t="inlineStr">
        <is>
          <t>Fijo</t>
        </is>
      </c>
      <c r="J27" s="5" t="inlineStr">
        <is>
          <t>—</t>
        </is>
      </c>
      <c r="K27" s="7" t="n">
        <v>5</v>
      </c>
      <c r="L27" s="5" t="n">
        <v>12</v>
      </c>
      <c r="M27" s="6" t="inlineStr">
        <is>
          <t>Cierra 19 h</t>
        </is>
      </c>
      <c r="N27" s="6" t="inlineStr">
        <is>
          <t>palermodentalok.com.ar</t>
        </is>
      </c>
      <c r="O27" s="5" t="inlineStr">
        <is>
          <t>Sin HTTPS forzado</t>
        </is>
      </c>
      <c r="P27" s="6" t="inlineStr">
        <is>
          <t>La versión http no redirige a https.</t>
        </is>
      </c>
      <c r="Q27" s="6" t="inlineStr">
        <is>
          <t>Escribí la dirección con http:// y fijate si el navegador dice “No seguro”.</t>
        </is>
      </c>
      <c r="R27" s="6" t="inlineStr">
        <is>
          <t>Pocas reseñas: web ajustada más sistema de reseñas.</t>
        </is>
      </c>
      <c r="S27" s="6" t="inlineStr">
        <is>
          <t>Plan Esencial</t>
        </is>
      </c>
      <c r="T27" s="6" t="inlineStr">
        <is>
          <t>Visita presencial</t>
        </is>
      </c>
      <c r="U27" s="6" t="inlineStr">
        <is>
          <t>G5 Web vieja</t>
        </is>
      </c>
      <c r="V27" s="6" t="inlineStr">
        <is>
          <t>Demo odontología</t>
        </is>
      </c>
      <c r="W27" s="8" t="inlineStr">
        <is>
          <t>Sin contactar</t>
        </is>
      </c>
      <c r="X27" s="9" t="n"/>
      <c r="Y27" s="10">
        <f>IF(X27="","",X27+3)</f>
        <v/>
      </c>
      <c r="Z27" s="10">
        <f>IF(X27="","",X27+7)</f>
        <v/>
      </c>
      <c r="AA27" s="10">
        <f>IF(X27="","",X27+14)</f>
        <v/>
      </c>
      <c r="AB27" s="11" t="n"/>
      <c r="AC27" s="11" t="n"/>
    </row>
    <row r="28" ht="62" customHeight="1">
      <c r="A28" s="5" t="n">
        <v>27</v>
      </c>
      <c r="B28" s="5">
        <f>IF(C28&gt;=5,"Alta",IF(C28&gt;=3,"Media","Baja"))</f>
        <v/>
      </c>
      <c r="C28" s="5">
        <f>IFERROR(VLOOKUP(O28,Puntos!$A$3:$B$12,2,FALSE),0)+IF(L28&gt;=100,2,IF(L28&gt;=30,1,0))+IF(K28&gt;=4.5,1,0)-IF(K28&lt;3,2,0)</f>
        <v/>
      </c>
      <c r="D28" s="6" t="inlineStr">
        <is>
          <t>Dental Soho</t>
        </is>
      </c>
      <c r="E28" s="5" t="inlineStr">
        <is>
          <t>Odontología</t>
        </is>
      </c>
      <c r="F28" s="6" t="inlineStr">
        <is>
          <t>Palermo Soho</t>
        </is>
      </c>
      <c r="G28" s="6" t="inlineStr">
        <is>
          <t>Gorriti 5399</t>
        </is>
      </c>
      <c r="H28" s="5" t="inlineStr">
        <is>
          <t>011 6574-8079</t>
        </is>
      </c>
      <c r="I28" s="5" t="inlineStr">
        <is>
          <t>Celular (probable)</t>
        </is>
      </c>
      <c r="J28" s="12">
        <f>HYPERLINK("https://wa.me/5491165748079","Abrir WhatsApp")</f>
        <v/>
      </c>
      <c r="K28" s="7" t="n">
        <v>4.8</v>
      </c>
      <c r="L28" s="5" t="n">
        <v>189</v>
      </c>
      <c r="M28" s="6" t="inlineStr">
        <is>
          <t>Cierra 20 h</t>
        </is>
      </c>
      <c r="N28" s="6" t="inlineStr">
        <is>
          <t>dentalsoho.com.ar</t>
        </is>
      </c>
      <c r="O28" s="5" t="inlineStr">
        <is>
          <t>Web desactualizada</t>
        </is>
      </c>
      <c r="P28" s="6" t="inlineStr">
        <is>
          <t>El pie de la web dice © 2024.</t>
        </is>
      </c>
      <c r="Q28" s="6" t="inlineStr">
        <is>
          <t>Mirá el año del pie de página.</t>
        </is>
      </c>
      <c r="R28" s="6" t="inlineStr">
        <is>
          <t>Detalle chico pero visible; ofrecé el plan de mantenimiento mensual.</t>
        </is>
      </c>
      <c r="S28" s="6" t="inlineStr">
        <is>
          <t>Plan Plus</t>
        </is>
      </c>
      <c r="T28" s="6" t="inlineStr">
        <is>
          <t>WhatsApp + visita</t>
        </is>
      </c>
      <c r="U28" s="6" t="inlineStr">
        <is>
          <t>G5 Web vieja</t>
        </is>
      </c>
      <c r="V28" s="6" t="inlineStr">
        <is>
          <t>Demo odontología</t>
        </is>
      </c>
      <c r="W28" s="8" t="inlineStr">
        <is>
          <t>Sin contactar</t>
        </is>
      </c>
      <c r="X28" s="9" t="n"/>
      <c r="Y28" s="10">
        <f>IF(X28="","",X28+3)</f>
        <v/>
      </c>
      <c r="Z28" s="10">
        <f>IF(X28="","",X28+7)</f>
        <v/>
      </c>
      <c r="AA28" s="10">
        <f>IF(X28="","",X28+14)</f>
        <v/>
      </c>
      <c r="AB28" s="11" t="n"/>
      <c r="AC28" s="11" t="n"/>
    </row>
    <row r="29" ht="62" customHeight="1">
      <c r="A29" s="5" t="n">
        <v>28</v>
      </c>
      <c r="B29" s="5">
        <f>IF(C29&gt;=5,"Alta",IF(C29&gt;=3,"Media","Baja"))</f>
        <v/>
      </c>
      <c r="C29" s="5">
        <f>IFERROR(VLOOKUP(O29,Puntos!$A$3:$B$12,2,FALSE),0)+IF(L29&gt;=100,2,IF(L29&gt;=30,1,0))+IF(K29&gt;=4.5,1,0)-IF(K29&lt;3,2,0)</f>
        <v/>
      </c>
      <c r="D29" s="6" t="inlineStr">
        <is>
          <t>Taller Barceló</t>
        </is>
      </c>
      <c r="E29" s="5" t="inlineStr">
        <is>
          <t>Taller mecánico</t>
        </is>
      </c>
      <c r="F29" s="6" t="inlineStr">
        <is>
          <t>Palermo (ver ficha)</t>
        </is>
      </c>
      <c r="G29" s="6" t="inlineStr">
        <is>
          <t>Ver ficha de Google</t>
        </is>
      </c>
      <c r="H29" s="5" t="inlineStr">
        <is>
          <t>011 4773-9172</t>
        </is>
      </c>
      <c r="I29" s="5" t="inlineStr">
        <is>
          <t>Fijo</t>
        </is>
      </c>
      <c r="J29" s="5" t="inlineStr">
        <is>
          <t>—</t>
        </is>
      </c>
      <c r="K29" s="7" t="n">
        <v>4.9</v>
      </c>
      <c r="L29" s="5" t="n">
        <v>10</v>
      </c>
      <c r="M29" s="6" t="inlineStr">
        <is>
          <t>Cierra 18 h</t>
        </is>
      </c>
      <c r="N29" s="6" t="inlineStr">
        <is>
          <t>No tiene</t>
        </is>
      </c>
      <c r="O29" s="5" t="inlineStr">
        <is>
          <t>Sin web</t>
        </is>
      </c>
      <c r="P29" s="6" t="inlineStr">
        <is>
          <t>Ficha de Google sin sitio web.</t>
        </is>
      </c>
      <c r="Q29" s="6" t="inlineStr">
        <is>
          <t>Buscalo en Google Maps: la ficha no tiene botón “Sitio web”.</t>
        </is>
      </c>
      <c r="R29" s="6" t="inlineStr">
        <is>
          <t>Más de 10 años y 4,9 estrellas: una web con turnos y presupuesto previo lo diferencia.</t>
        </is>
      </c>
      <c r="S29" s="6" t="inlineStr">
        <is>
          <t>Presencia (o Profesional)</t>
        </is>
      </c>
      <c r="T29" s="6" t="inlineStr">
        <is>
          <t>Visita presencial</t>
        </is>
      </c>
      <c r="U29" s="6" t="inlineStr">
        <is>
          <t>G1 Sin web</t>
        </is>
      </c>
      <c r="V29" s="6" t="inlineStr">
        <is>
          <t>Demo cerrajería (adaptar)</t>
        </is>
      </c>
      <c r="W29" s="8" t="inlineStr">
        <is>
          <t>Sin contactar</t>
        </is>
      </c>
      <c r="X29" s="9" t="n"/>
      <c r="Y29" s="10">
        <f>IF(X29="","",X29+3)</f>
        <v/>
      </c>
      <c r="Z29" s="10">
        <f>IF(X29="","",X29+7)</f>
        <v/>
      </c>
      <c r="AA29" s="10">
        <f>IF(X29="","",X29+14)</f>
        <v/>
      </c>
      <c r="AB29" s="11" t="n"/>
      <c r="AC29" s="11" t="n"/>
    </row>
    <row r="30" ht="62" customHeight="1">
      <c r="A30" s="5" t="n">
        <v>29</v>
      </c>
      <c r="B30" s="5">
        <f>IF(C30&gt;=5,"Alta",IF(C30&gt;=3,"Media","Baja"))</f>
        <v/>
      </c>
      <c r="C30" s="5">
        <f>IFERROR(VLOOKUP(O30,Puntos!$A$3:$B$12,2,FALSE),0)+IF(L30&gt;=100,2,IF(L30&gt;=30,1,0))+IF(K30&gt;=4.5,1,0)-IF(K30&lt;3,2,0)</f>
        <v/>
      </c>
      <c r="D30" s="6" t="inlineStr">
        <is>
          <t>Taller Palermo, primera calidad (chapa y pintura)</t>
        </is>
      </c>
      <c r="E30" s="5" t="inlineStr">
        <is>
          <t>Taller mecánico</t>
        </is>
      </c>
      <c r="F30" s="6" t="inlineStr">
        <is>
          <t>Palermo (ver ficha)</t>
        </is>
      </c>
      <c r="G30" s="6" t="inlineStr">
        <is>
          <t>Ver ficha de Google</t>
        </is>
      </c>
      <c r="H30" s="5" t="inlineStr">
        <is>
          <t>011 15-2375-0509</t>
        </is>
      </c>
      <c r="I30" s="5" t="inlineStr">
        <is>
          <t>Celular</t>
        </is>
      </c>
      <c r="J30" s="12">
        <f>HYPERLINK("https://wa.me/5491123750509","Abrir WhatsApp")</f>
        <v/>
      </c>
      <c r="K30" s="7" t="n">
        <v>4.6</v>
      </c>
      <c r="L30" s="5" t="n">
        <v>46</v>
      </c>
      <c r="M30" s="6" t="inlineStr">
        <is>
          <t>Cierra 18 h</t>
        </is>
      </c>
      <c r="N30" s="6" t="inlineStr">
        <is>
          <t>No tiene</t>
        </is>
      </c>
      <c r="O30" s="5" t="inlineStr">
        <is>
          <t>Sin web</t>
        </is>
      </c>
      <c r="P30" s="6" t="inlineStr">
        <is>
          <t>Ficha de Google sin sitio web.</t>
        </is>
      </c>
      <c r="Q30" s="6" t="inlineStr">
        <is>
          <t>Buscalo en Google Maps: la ficha no tiene botón “Sitio web”.</t>
        </is>
      </c>
      <c r="R30" s="6" t="inlineStr">
        <is>
          <t>Más de 20 años en chapa y pintura: los trabajos de antes y después son ideales para una galería.</t>
        </is>
      </c>
      <c r="S30" s="6" t="inlineStr">
        <is>
          <t>Presencia (o Profesional)</t>
        </is>
      </c>
      <c r="T30" s="6" t="inlineStr">
        <is>
          <t>WhatsApp + visita</t>
        </is>
      </c>
      <c r="U30" s="6" t="inlineStr">
        <is>
          <t>G1 Sin web</t>
        </is>
      </c>
      <c r="V30" s="6" t="inlineStr">
        <is>
          <t>Demo cerrajería (adaptar)</t>
        </is>
      </c>
      <c r="W30" s="8" t="inlineStr">
        <is>
          <t>Sin contactar</t>
        </is>
      </c>
      <c r="X30" s="9" t="n"/>
      <c r="Y30" s="10">
        <f>IF(X30="","",X30+3)</f>
        <v/>
      </c>
      <c r="Z30" s="10">
        <f>IF(X30="","",X30+7)</f>
        <v/>
      </c>
      <c r="AA30" s="10">
        <f>IF(X30="","",X30+14)</f>
        <v/>
      </c>
      <c r="AB30" s="11" t="n"/>
      <c r="AC30" s="11" t="n"/>
    </row>
    <row r="31" ht="62" customHeight="1">
      <c r="A31" s="5" t="n">
        <v>30</v>
      </c>
      <c r="B31" s="5">
        <f>IF(C31&gt;=5,"Alta",IF(C31&gt;=3,"Media","Baja"))</f>
        <v/>
      </c>
      <c r="C31" s="5">
        <f>IFERROR(VLOOKUP(O31,Puntos!$A$3:$B$12,2,FALSE),0)+IF(L31&gt;=100,2,IF(L31&gt;=30,1,0))+IF(K31&gt;=4.5,1,0)-IF(K31&lt;3,2,0)</f>
        <v/>
      </c>
      <c r="D31" s="6" t="inlineStr">
        <is>
          <t>Taller Palermo</t>
        </is>
      </c>
      <c r="E31" s="5" t="inlineStr">
        <is>
          <t>Taller mecánico</t>
        </is>
      </c>
      <c r="F31" s="6" t="inlineStr">
        <is>
          <t>Palermo (ver ficha)</t>
        </is>
      </c>
      <c r="G31" s="6" t="inlineStr">
        <is>
          <t>Ver ficha de Google</t>
        </is>
      </c>
      <c r="H31" s="5" t="inlineStr">
        <is>
          <t>011 4426-9374</t>
        </is>
      </c>
      <c r="I31" s="5" t="inlineStr">
        <is>
          <t>Fijo</t>
        </is>
      </c>
      <c r="J31" s="5" t="inlineStr">
        <is>
          <t>—</t>
        </is>
      </c>
      <c r="K31" s="7" t="n">
        <v>5</v>
      </c>
      <c r="L31" s="5" t="n">
        <v>6</v>
      </c>
      <c r="M31" s="6" t="inlineStr">
        <is>
          <t>Cierra 18 h</t>
        </is>
      </c>
      <c r="N31" s="6" t="inlineStr">
        <is>
          <t>No tiene</t>
        </is>
      </c>
      <c r="O31" s="5" t="inlineStr">
        <is>
          <t>Sin web</t>
        </is>
      </c>
      <c r="P31" s="6" t="inlineStr">
        <is>
          <t>Ficha de Google sin sitio web y pocas reseñas.</t>
        </is>
      </c>
      <c r="Q31" s="6" t="inlineStr">
        <is>
          <t>Buscalo en Google Maps: la ficha no tiene botón “Sitio web”.</t>
        </is>
      </c>
      <c r="R31" s="6" t="inlineStr">
        <is>
          <t>Web más un QR para pedir reseñas a cada cliente que retira el auto.</t>
        </is>
      </c>
      <c r="S31" s="6" t="inlineStr">
        <is>
          <t>Presencia (o Profesional)</t>
        </is>
      </c>
      <c r="T31" s="6" t="inlineStr">
        <is>
          <t>Visita presencial</t>
        </is>
      </c>
      <c r="U31" s="6" t="inlineStr">
        <is>
          <t>G1 Sin web</t>
        </is>
      </c>
      <c r="V31" s="6" t="inlineStr">
        <is>
          <t>Demo cerrajería (adaptar)</t>
        </is>
      </c>
      <c r="W31" s="8" t="inlineStr">
        <is>
          <t>Sin contactar</t>
        </is>
      </c>
      <c r="X31" s="9" t="n"/>
      <c r="Y31" s="10">
        <f>IF(X31="","",X31+3)</f>
        <v/>
      </c>
      <c r="Z31" s="10">
        <f>IF(X31="","",X31+7)</f>
        <v/>
      </c>
      <c r="AA31" s="10">
        <f>IF(X31="","",X31+14)</f>
        <v/>
      </c>
      <c r="AB31" s="11" t="n"/>
      <c r="AC31" s="11" t="n"/>
    </row>
    <row r="32" ht="62" customHeight="1">
      <c r="A32" s="5" t="n">
        <v>31</v>
      </c>
      <c r="B32" s="5">
        <f>IF(C32&gt;=5,"Alta",IF(C32&gt;=3,"Media","Baja"))</f>
        <v/>
      </c>
      <c r="C32" s="5">
        <f>IFERROR(VLOOKUP(O32,Puntos!$A$3:$B$12,2,FALSE),0)+IF(L32&gt;=100,2,IF(L32&gt;=30,1,0))+IF(K32&gt;=4.5,1,0)-IF(K32&lt;3,2,0)</f>
        <v/>
      </c>
      <c r="D32" s="6" t="inlineStr">
        <is>
          <t>Taller posventa Palermo Motor</t>
        </is>
      </c>
      <c r="E32" s="5" t="inlineStr">
        <is>
          <t>Taller mecánico</t>
        </is>
      </c>
      <c r="F32" s="6" t="inlineStr">
        <is>
          <t>Palermo (ver ficha)</t>
        </is>
      </c>
      <c r="G32" s="6" t="inlineStr">
        <is>
          <t>Ver ficha de Google</t>
        </is>
      </c>
      <c r="H32" s="5" t="inlineStr">
        <is>
          <t>011 15-2730-1339</t>
        </is>
      </c>
      <c r="I32" s="5" t="inlineStr">
        <is>
          <t>Celular</t>
        </is>
      </c>
      <c r="J32" s="12">
        <f>HYPERLINK("https://wa.me/5491127301339","Abrir WhatsApp")</f>
        <v/>
      </c>
      <c r="K32" s="7" t="n">
        <v>5</v>
      </c>
      <c r="L32" s="5" t="n">
        <v>9</v>
      </c>
      <c r="M32" s="6" t="inlineStr">
        <is>
          <t>Cierra 17 h</t>
        </is>
      </c>
      <c r="N32" s="6" t="inlineStr">
        <is>
          <t>No tiene</t>
        </is>
      </c>
      <c r="O32" s="5" t="inlineStr">
        <is>
          <t>Sin web</t>
        </is>
      </c>
      <c r="P32" s="6" t="inlineStr">
        <is>
          <t>Ficha de Google sin sitio web.</t>
        </is>
      </c>
      <c r="Q32" s="6" t="inlineStr">
        <is>
          <t>Buscalo en Google Maps: la ficha no tiene botón “Sitio web”.</t>
        </is>
      </c>
      <c r="R32" s="6" t="inlineStr">
        <is>
          <t>5 estrellas con pocas reseñas: necesita que lo encuentren.</t>
        </is>
      </c>
      <c r="S32" s="6" t="inlineStr">
        <is>
          <t>Presencia (o Profesional)</t>
        </is>
      </c>
      <c r="T32" s="6" t="inlineStr">
        <is>
          <t>WhatsApp + visita</t>
        </is>
      </c>
      <c r="U32" s="6" t="inlineStr">
        <is>
          <t>G1 Sin web</t>
        </is>
      </c>
      <c r="V32" s="6" t="inlineStr">
        <is>
          <t>Demo cerrajería (adaptar)</t>
        </is>
      </c>
      <c r="W32" s="8" t="inlineStr">
        <is>
          <t>Sin contactar</t>
        </is>
      </c>
      <c r="X32" s="9" t="n"/>
      <c r="Y32" s="10">
        <f>IF(X32="","",X32+3)</f>
        <v/>
      </c>
      <c r="Z32" s="10">
        <f>IF(X32="","",X32+7)</f>
        <v/>
      </c>
      <c r="AA32" s="10">
        <f>IF(X32="","",X32+14)</f>
        <v/>
      </c>
      <c r="AB32" s="11" t="n"/>
      <c r="AC32" s="11" t="n"/>
    </row>
    <row r="33" ht="62" customHeight="1">
      <c r="A33" s="5" t="n">
        <v>32</v>
      </c>
      <c r="B33" s="5">
        <f>IF(C33&gt;=5,"Alta",IF(C33&gt;=3,"Media","Baja"))</f>
        <v/>
      </c>
      <c r="C33" s="5">
        <f>IFERROR(VLOOKUP(O33,Puntos!$A$3:$B$12,2,FALSE),0)+IF(L33&gt;=100,2,IF(L33&gt;=30,1,0))+IF(K33&gt;=4.5,1,0)-IF(K33&lt;3,2,0)</f>
        <v/>
      </c>
      <c r="D33" s="6" t="inlineStr">
        <is>
          <t>El Campeón</t>
        </is>
      </c>
      <c r="E33" s="5" t="inlineStr">
        <is>
          <t>Taller mecánico</t>
        </is>
      </c>
      <c r="F33" s="6" t="inlineStr">
        <is>
          <t>Palermo (ver ficha)</t>
        </is>
      </c>
      <c r="G33" s="6" t="inlineStr">
        <is>
          <t>Ver ficha de Google</t>
        </is>
      </c>
      <c r="H33" s="5" t="inlineStr">
        <is>
          <t>011 15-6207-9704</t>
        </is>
      </c>
      <c r="I33" s="5" t="inlineStr">
        <is>
          <t>Celular</t>
        </is>
      </c>
      <c r="J33" s="12">
        <f>HYPERLINK("https://wa.me/5491162079704","Abrir WhatsApp")</f>
        <v/>
      </c>
      <c r="K33" s="7" t="n">
        <v>4.7</v>
      </c>
      <c r="L33" s="5" t="n">
        <v>17</v>
      </c>
      <c r="M33" s="6" t="inlineStr">
        <is>
          <t>Cierra 20 h</t>
        </is>
      </c>
      <c r="N33" s="6" t="inlineStr">
        <is>
          <t>No tiene</t>
        </is>
      </c>
      <c r="O33" s="5" t="inlineStr">
        <is>
          <t>Sin web</t>
        </is>
      </c>
      <c r="P33" s="6" t="inlineStr">
        <is>
          <t>Ficha de Google sin sitio web.</t>
        </is>
      </c>
      <c r="Q33" s="6" t="inlineStr">
        <is>
          <t>Buscalo en Google Maps: la ficha no tiene botón “Sitio web”.</t>
        </is>
      </c>
      <c r="R33" s="6" t="inlineStr">
        <is>
          <t>El nombre no dice que es un taller: la web y la ficha tienen que decirlo claro.</t>
        </is>
      </c>
      <c r="S33" s="6" t="inlineStr">
        <is>
          <t>Presencia (o Profesional)</t>
        </is>
      </c>
      <c r="T33" s="6" t="inlineStr">
        <is>
          <t>WhatsApp + visita</t>
        </is>
      </c>
      <c r="U33" s="6" t="inlineStr">
        <is>
          <t>G1 Sin web</t>
        </is>
      </c>
      <c r="V33" s="6" t="inlineStr">
        <is>
          <t>Demo cerrajería (adaptar)</t>
        </is>
      </c>
      <c r="W33" s="8" t="inlineStr">
        <is>
          <t>Sin contactar</t>
        </is>
      </c>
      <c r="X33" s="9" t="n"/>
      <c r="Y33" s="10">
        <f>IF(X33="","",X33+3)</f>
        <v/>
      </c>
      <c r="Z33" s="10">
        <f>IF(X33="","",X33+7)</f>
        <v/>
      </c>
      <c r="AA33" s="10">
        <f>IF(X33="","",X33+14)</f>
        <v/>
      </c>
      <c r="AB33" s="11" t="n"/>
      <c r="AC33" s="11" t="n"/>
    </row>
    <row r="34" ht="62" customHeight="1">
      <c r="A34" s="5" t="n">
        <v>33</v>
      </c>
      <c r="B34" s="5">
        <f>IF(C34&gt;=5,"Alta",IF(C34&gt;=3,"Media","Baja"))</f>
        <v/>
      </c>
      <c r="C34" s="5">
        <f>IFERROR(VLOOKUP(O34,Puntos!$A$3:$B$12,2,FALSE),0)+IF(L34&gt;=100,2,IF(L34&gt;=30,1,0))+IF(K34&gt;=4.5,1,0)-IF(K34&lt;3,2,0)</f>
        <v/>
      </c>
      <c r="D34" s="6" t="inlineStr">
        <is>
          <t>Gomería y Mecánica 24 h Palermo / Neumáticos Palermo</t>
        </is>
      </c>
      <c r="E34" s="5" t="inlineStr">
        <is>
          <t>Taller mecánico</t>
        </is>
      </c>
      <c r="F34" s="6" t="inlineStr">
        <is>
          <t>Palermo (ver ficha)</t>
        </is>
      </c>
      <c r="G34" s="6" t="inlineStr">
        <is>
          <t>Ver ficha de Google</t>
        </is>
      </c>
      <c r="H34" s="5" t="inlineStr">
        <is>
          <t>011 2774-9223</t>
        </is>
      </c>
      <c r="I34" s="5" t="inlineStr">
        <is>
          <t>Celular (probable)</t>
        </is>
      </c>
      <c r="J34" s="12">
        <f>HYPERLINK("https://wa.me/5491127749223","Abrir WhatsApp")</f>
        <v/>
      </c>
      <c r="K34" s="7" t="n">
        <v>3.5</v>
      </c>
      <c r="L34" s="5" t="n">
        <v>193</v>
      </c>
      <c r="M34" s="6" t="inlineStr">
        <is>
          <t>Hasta la 1 h</t>
        </is>
      </c>
      <c r="N34" s="6" t="inlineStr">
        <is>
          <t>No tiene</t>
        </is>
      </c>
      <c r="O34" s="5" t="inlineStr">
        <is>
          <t>Sin web</t>
        </is>
      </c>
      <c r="P34" s="6" t="inlineStr">
        <is>
          <t>Dos fichas de Google con el mismo teléfono (193 y 84 reseñas) y ninguna web.</t>
        </is>
      </c>
      <c r="Q34" s="6" t="inlineStr">
        <is>
          <t>Buscalo en Google Maps: la ficha no tiene botón “Sitio web”.</t>
        </is>
      </c>
      <c r="R34" s="6" t="inlineStr">
        <is>
          <t>Dos fichas con el mismo teléfono: unificarlas y sumar una web ordena todo.</t>
        </is>
      </c>
      <c r="S34" s="6" t="inlineStr">
        <is>
          <t>Presencia (o Profesional)</t>
        </is>
      </c>
      <c r="T34" s="6" t="inlineStr">
        <is>
          <t>WhatsApp + visita</t>
        </is>
      </c>
      <c r="U34" s="6" t="inlineStr">
        <is>
          <t>G1 Sin web</t>
        </is>
      </c>
      <c r="V34" s="6" t="inlineStr">
        <is>
          <t>Demo cerrajería (adaptar)</t>
        </is>
      </c>
      <c r="W34" s="8" t="inlineStr">
        <is>
          <t>Sin contactar</t>
        </is>
      </c>
      <c r="X34" s="9" t="n"/>
      <c r="Y34" s="10">
        <f>IF(X34="","",X34+3)</f>
        <v/>
      </c>
      <c r="Z34" s="10">
        <f>IF(X34="","",X34+7)</f>
        <v/>
      </c>
      <c r="AA34" s="10">
        <f>IF(X34="","",X34+14)</f>
        <v/>
      </c>
      <c r="AB34" s="11" t="n"/>
      <c r="AC34" s="11" t="n"/>
    </row>
    <row r="35" ht="62" customHeight="1">
      <c r="A35" s="5" t="n">
        <v>34</v>
      </c>
      <c r="B35" s="5">
        <f>IF(C35&gt;=5,"Alta",IF(C35&gt;=3,"Media","Baja"))</f>
        <v/>
      </c>
      <c r="C35" s="5">
        <f>IFERROR(VLOOKUP(O35,Puntos!$A$3:$B$12,2,FALSE),0)+IF(L35&gt;=100,2,IF(L35&gt;=30,1,0))+IF(K35&gt;=4.5,1,0)-IF(K35&lt;3,2,0)</f>
        <v/>
      </c>
      <c r="D35" s="6" t="inlineStr">
        <is>
          <t>Automeca (Villa Crespo)</t>
        </is>
      </c>
      <c r="E35" s="5" t="inlineStr">
        <is>
          <t>Taller mecánico</t>
        </is>
      </c>
      <c r="F35" s="6" t="inlineStr">
        <is>
          <t>Villa Crespo</t>
        </is>
      </c>
      <c r="G35" s="6" t="inlineStr">
        <is>
          <t>Ver ficha de Google</t>
        </is>
      </c>
      <c r="H35" s="5" t="inlineStr">
        <is>
          <t>011 2171-4999</t>
        </is>
      </c>
      <c r="I35" s="5" t="inlineStr">
        <is>
          <t>Celular (probable)</t>
        </is>
      </c>
      <c r="J35" s="12">
        <f>HYPERLINK("https://wa.me/5491121714999","Abrir WhatsApp")</f>
        <v/>
      </c>
      <c r="K35" s="7" t="n">
        <v>5</v>
      </c>
      <c r="L35" s="5" t="n">
        <v>45</v>
      </c>
      <c r="M35" s="6" t="inlineStr">
        <is>
          <t>Cierra 18 h</t>
        </is>
      </c>
      <c r="N35" s="6" t="inlineStr">
        <is>
          <t>automeca.com.ar (WordPress 6.6)</t>
        </is>
      </c>
      <c r="O35" s="5" t="inlineStr">
        <is>
          <t>WordPress desactualizado</t>
        </is>
      </c>
      <c r="P35" s="6" t="inlineStr">
        <is>
          <t>La web usa WordPress 6.6.10, varias versiones atrás de la actual: más riesgo de hackeo.</t>
        </is>
      </c>
      <c r="Q35" s="6" t="inlineStr">
        <is>
          <t>Extensión Wappalyzer en el navegador, o “Ver código fuente” y buscá “generator”.</t>
        </is>
      </c>
      <c r="R35" s="6" t="inlineStr">
        <is>
          <t>Tiene web y la cuida: ofrecé actualización y plan de mantenimiento antes de que la hackeen.</t>
        </is>
      </c>
      <c r="S35" s="6" t="inlineStr">
        <is>
          <t>Rescate preventivo + Plan Esencial</t>
        </is>
      </c>
      <c r="T35" s="6" t="inlineStr">
        <is>
          <t>WhatsApp + visita</t>
        </is>
      </c>
      <c r="U35" s="6" t="inlineStr">
        <is>
          <t>G6 WordPress viejo</t>
        </is>
      </c>
      <c r="V35" s="6" t="inlineStr">
        <is>
          <t>Demo cerrajería (adaptar)</t>
        </is>
      </c>
      <c r="W35" s="8" t="inlineStr">
        <is>
          <t>Sin contactar</t>
        </is>
      </c>
      <c r="X35" s="9" t="n"/>
      <c r="Y35" s="10">
        <f>IF(X35="","",X35+3)</f>
        <v/>
      </c>
      <c r="Z35" s="10">
        <f>IF(X35="","",X35+7)</f>
        <v/>
      </c>
      <c r="AA35" s="10">
        <f>IF(X35="","",X35+14)</f>
        <v/>
      </c>
      <c r="AB35" s="11" t="n"/>
      <c r="AC35" s="11" t="n"/>
    </row>
  </sheetData>
  <autoFilter ref="A1:AC35"/>
  <conditionalFormatting sqref="B2:B35">
    <cfRule type="cellIs" priority="1" operator="equal" dxfId="0">
      <formula>"Alta"</formula>
    </cfRule>
    <cfRule type="cellIs" priority="2" operator="equal" dxfId="1">
      <formula>"Media"</formula>
    </cfRule>
    <cfRule type="cellIs" priority="3" operator="equal" dxfId="2">
      <formula>"Baja"</formula>
    </cfRule>
  </conditionalFormatting>
  <conditionalFormatting sqref="W2:W35">
    <cfRule type="cellIs" priority="4" operator="equal" dxfId="3">
      <formula>"Ganado"</formula>
    </cfRule>
    <cfRule type="cellIs" priority="5" operator="equal" dxfId="4">
      <formula>"Perdido"</formula>
    </cfRule>
  </conditionalFormatting>
  <conditionalFormatting sqref="Y2:AA35">
    <cfRule type="expression" priority="6" dxfId="5">
      <formula>AND(Y2&lt;&gt;"",Y2&lt;=TODAY(),$W2="Contactado")</formula>
    </cfRule>
  </conditionalFormatting>
  <dataValidations count="2">
    <dataValidation sqref="W2:W235" showDropDown="0" showInputMessage="0" showErrorMessage="0" allowBlank="1" error="Elegí un estado de la lista" type="list">
      <formula1>"Sin contactar,Contactado,Respondió,Diagnóstico agendado,Propuesta enviada,Ganado,Perdido,No contactar"</formula1>
    </dataValidation>
    <dataValidation sqref="X2:X235" showDropDown="0" showInputMessage="0" showErrorMessage="0" allowBlank="1" error="Escribí una fecha (dd/mm/aaaa)" type="date" operator="greaterThan">
      <formula1>DATE(2026,1,1)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2" customWidth="1" min="1" max="1"/>
    <col width="14" customWidth="1" min="2" max="2"/>
  </cols>
  <sheetData>
    <row r="1">
      <c r="A1" s="13" t="inlineStr">
        <is>
          <t>Resumen de la prospección</t>
        </is>
      </c>
    </row>
    <row r="3">
      <c r="A3" s="14" t="inlineStr">
        <is>
          <t>Prospectos en la planilla</t>
        </is>
      </c>
      <c r="B3" s="14">
        <f>COUNTA(Prospectos!D2:D235)</f>
        <v/>
      </c>
    </row>
    <row r="4">
      <c r="A4" s="14" t="inlineStr">
        <is>
          <t>Prioridad alta</t>
        </is>
      </c>
      <c r="B4" s="14">
        <f>COUNTIF(Prospectos!B2:B235,"Alta")</f>
        <v/>
      </c>
    </row>
    <row r="5">
      <c r="A5" s="14" t="inlineStr">
        <is>
          <t>Prioridad media</t>
        </is>
      </c>
      <c r="B5" s="14">
        <f>COUNTIF(Prospectos!B2:B235,"Media")</f>
        <v/>
      </c>
    </row>
    <row r="6">
      <c r="A6" s="14" t="inlineStr">
        <is>
          <t>Prioridad baja</t>
        </is>
      </c>
      <c r="B6" s="14">
        <f>COUNTIF(Prospectos!B2:B235,"Baja")</f>
        <v/>
      </c>
    </row>
    <row r="7">
      <c r="A7" s="14" t="inlineStr"/>
    </row>
    <row r="8">
      <c r="A8" s="15" t="inlineStr">
        <is>
          <t>Por rubro</t>
        </is>
      </c>
    </row>
    <row r="9">
      <c r="A9" s="14" t="inlineStr">
        <is>
          <t>Cerrajería</t>
        </is>
      </c>
      <c r="B9" s="14">
        <f>COUNTIF(Prospectos!E2:E235,"Cerrajería")</f>
        <v/>
      </c>
    </row>
    <row r="10">
      <c r="A10" s="14" t="inlineStr">
        <is>
          <t>Odontología</t>
        </is>
      </c>
      <c r="B10" s="14">
        <f>COUNTIF(Prospectos!E2:E235,"Odontología")</f>
        <v/>
      </c>
    </row>
    <row r="11">
      <c r="A11" s="14" t="inlineStr">
        <is>
          <t>Taller mecánico</t>
        </is>
      </c>
      <c r="B11" s="14">
        <f>COUNTIF(Prospectos!E2:E235,"Taller mecánico")</f>
        <v/>
      </c>
    </row>
    <row r="12">
      <c r="A12" s="14" t="inlineStr"/>
    </row>
    <row r="13">
      <c r="A13" s="15" t="inlineStr">
        <is>
          <t>Embudo</t>
        </is>
      </c>
    </row>
    <row r="14">
      <c r="A14" s="14" t="inlineStr">
        <is>
          <t>Sin contactar</t>
        </is>
      </c>
      <c r="B14" s="14">
        <f>COUNTIF(Prospectos!W2:W235,"Sin contactar")</f>
        <v/>
      </c>
    </row>
    <row r="15">
      <c r="A15" s="14" t="inlineStr">
        <is>
          <t>Contactado</t>
        </is>
      </c>
      <c r="B15" s="14">
        <f>COUNTIF(Prospectos!W2:W235,"Contactado")</f>
        <v/>
      </c>
    </row>
    <row r="16">
      <c r="A16" s="14" t="inlineStr">
        <is>
          <t>Respondió</t>
        </is>
      </c>
      <c r="B16" s="14">
        <f>COUNTIF(Prospectos!W2:W235,"Respondió")</f>
        <v/>
      </c>
    </row>
    <row r="17">
      <c r="A17" s="14" t="inlineStr">
        <is>
          <t>Diagnóstico agendado</t>
        </is>
      </c>
      <c r="B17" s="14">
        <f>COUNTIF(Prospectos!W2:W235,"Diagnóstico agendado")</f>
        <v/>
      </c>
    </row>
    <row r="18">
      <c r="A18" s="14" t="inlineStr">
        <is>
          <t>Propuesta enviada</t>
        </is>
      </c>
      <c r="B18" s="14">
        <f>COUNTIF(Prospectos!W2:W235,"Propuesta enviada")</f>
        <v/>
      </c>
    </row>
    <row r="19">
      <c r="A19" s="14" t="inlineStr">
        <is>
          <t>Ganado</t>
        </is>
      </c>
      <c r="B19" s="14">
        <f>COUNTIF(Prospectos!W2:W235,"Ganado")</f>
        <v/>
      </c>
    </row>
    <row r="20">
      <c r="A20" s="14" t="inlineStr">
        <is>
          <t>Perdido</t>
        </is>
      </c>
      <c r="B20" s="14">
        <f>COUNTIF(Prospectos!W2:W235,"Perdido")</f>
        <v/>
      </c>
    </row>
    <row r="21">
      <c r="A21" s="14" t="inlineStr"/>
    </row>
    <row r="22">
      <c r="A22" s="14" t="inlineStr">
        <is>
          <t>Tasa de respuesta (respondió o más / contactados)</t>
        </is>
      </c>
      <c r="B22" s="16">
        <f>IF((B15+B16+B17+B18+B19+B20)=0,0,(B16+B17+B18+B19)/(B15+B16+B17+B18+B19+B20))</f>
        <v/>
      </c>
    </row>
    <row r="23">
      <c r="A23" s="14" t="inlineStr">
        <is>
          <t>Tasa de cierre (ganados / contactados)</t>
        </is>
      </c>
      <c r="B23" s="16">
        <f>IF((B15+B16+B17+B18+B19+B20)=0,0,B19/(B15+B16+B17+B18+B19+B20))</f>
        <v/>
      </c>
    </row>
    <row r="25">
      <c r="A25" s="17" t="inlineStr">
        <is>
          <t>Metas del primer mes: 100 contactos, 15 diagnósticos, 3 a 5 clientes.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6" customWidth="1" min="1" max="1"/>
    <col width="10" customWidth="1" min="2" max="2"/>
    <col width="52" customWidth="1" min="3" max="3"/>
  </cols>
  <sheetData>
    <row r="1">
      <c r="A1" s="18" t="inlineStr">
        <is>
          <t>Puntos por situación (editables). Prioridad: 5 o más = Alta, 3 a 4 = Media, menos = Baja.</t>
        </is>
      </c>
      <c r="B1" s="18" t="n"/>
      <c r="C1" s="18" t="n"/>
    </row>
    <row r="2">
      <c r="A2" s="19" t="inlineStr">
        <is>
          <t>Situación</t>
        </is>
      </c>
      <c r="B2" s="19" t="inlineStr">
        <is>
          <t>Puntos</t>
        </is>
      </c>
      <c r="C2" s="19" t="inlineStr">
        <is>
          <t>Por qué</t>
        </is>
      </c>
    </row>
    <row r="3">
      <c r="A3" s="20" t="inlineStr">
        <is>
          <t>Sin web</t>
        </is>
      </c>
      <c r="B3" s="21" t="n">
        <v>3</v>
      </c>
      <c r="C3" s="20" t="inlineStr">
        <is>
          <t>El dolor más claro y la venta más fácil.</t>
        </is>
      </c>
    </row>
    <row r="4">
      <c r="A4" s="20" t="inlineStr">
        <is>
          <t>Solo redes</t>
        </is>
      </c>
      <c r="B4" s="21" t="n">
        <v>3</v>
      </c>
      <c r="C4" s="20" t="inlineStr">
        <is>
          <t>Ya vende por redes: entiende el valor, le falta la web.</t>
        </is>
      </c>
    </row>
    <row r="5">
      <c r="A5" s="20" t="inlineStr">
        <is>
          <t>Web caída</t>
        </is>
      </c>
      <c r="B5" s="21" t="n">
        <v>3</v>
      </c>
      <c r="C5" s="20" t="inlineStr">
        <is>
          <t>Urgente: está perdiendo clientes hoy.</t>
        </is>
      </c>
    </row>
    <row r="6">
      <c r="A6" s="20" t="inlineStr">
        <is>
          <t>Web lenta</t>
        </is>
      </c>
      <c r="B6" s="21" t="n">
        <v>3</v>
      </c>
      <c r="C6" s="20" t="inlineStr">
        <is>
          <t>Urgente: casi nadie espera tanto.</t>
        </is>
      </c>
    </row>
    <row r="7">
      <c r="A7" s="20" t="inlineStr">
        <is>
          <t>WordPress desactualizado</t>
        </is>
      </c>
      <c r="B7" s="21" t="n">
        <v>2</v>
      </c>
      <c r="C7" s="20" t="inlineStr">
        <is>
          <t>Riesgo de hackeo: venta de mantenimiento.</t>
        </is>
      </c>
    </row>
    <row r="8">
      <c r="A8" s="20" t="inlineStr">
        <is>
          <t>Web básica</t>
        </is>
      </c>
      <c r="B8" s="21" t="n">
        <v>2</v>
      </c>
      <c r="C8" s="20" t="inlineStr">
        <is>
          <t>Hay web pero no convierte.</t>
        </is>
      </c>
    </row>
    <row r="9">
      <c r="A9" s="20" t="inlineStr">
        <is>
          <t>Sin HTTPS forzado</t>
        </is>
      </c>
      <c r="B9" s="21" t="n">
        <v>1</v>
      </c>
      <c r="C9" s="20" t="inlineStr">
        <is>
          <t>Arreglo chico: entrada al plan mensual.</t>
        </is>
      </c>
    </row>
    <row r="10">
      <c r="A10" s="20" t="inlineStr">
        <is>
          <t>Web desactualizada</t>
        </is>
      </c>
      <c r="B10" s="21" t="n">
        <v>1</v>
      </c>
      <c r="C10" s="20" t="inlineStr">
        <is>
          <t>Detalle visible, venta de mantenimiento.</t>
        </is>
      </c>
    </row>
    <row r="11">
      <c r="A11" s="20" t="inlineStr">
        <is>
          <t>Verificar</t>
        </is>
      </c>
      <c r="B11" s="21" t="n">
        <v>1</v>
      </c>
      <c r="C11" s="20" t="inlineStr">
        <is>
          <t>Falta revisar el link de su ficha.</t>
        </is>
      </c>
    </row>
    <row r="12">
      <c r="A12" s="20" t="inlineStr">
        <is>
          <t>Web OK</t>
        </is>
      </c>
      <c r="B12" s="21" t="n">
        <v>0</v>
      </c>
      <c r="C12" s="20" t="inlineStr">
        <is>
          <t>No es prioridad.</t>
        </is>
      </c>
    </row>
    <row r="13">
      <c r="A13" s="20" t="n"/>
      <c r="B13" s="20" t="n"/>
      <c r="C13" s="20" t="n"/>
    </row>
    <row r="14">
      <c r="A14" s="20" t="inlineStr">
        <is>
          <t>Además: +2 si tiene 100 reseñas o más, +1 si tiene entre 30 y 99, +1 si su puntaje es 4,5 o más, −2 si es menor a 3.</t>
        </is>
      </c>
      <c r="B14" s="20" t="n"/>
      <c r="C14" s="2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4" customWidth="1" min="1" max="1"/>
    <col width="30" customWidth="1" min="2" max="2"/>
    <col width="110" customWidth="1" min="3" max="3"/>
  </cols>
  <sheetData>
    <row r="1">
      <c r="A1" s="22" t="inlineStr">
        <is>
          <t>Guiones (reemplazá lo que está entre corchetes; mandá primero el mensaje corto y la captura cuando respondan)</t>
        </is>
      </c>
    </row>
    <row r="2">
      <c r="A2" s="23" t="inlineStr">
        <is>
          <t>Código</t>
        </is>
      </c>
      <c r="B2" s="23" t="inlineStr">
        <is>
          <t>Cuándo usarlo</t>
        </is>
      </c>
      <c r="C2" s="23" t="inlineStr">
        <is>
          <t>Mensaje</t>
        </is>
      </c>
    </row>
    <row r="3" ht="92" customHeight="1">
      <c r="A3" s="2" t="inlineStr">
        <is>
          <t>G1 Sin web</t>
        </is>
      </c>
      <c r="B3" s="2" t="inlineStr">
        <is>
          <t>Negocio sin web (WhatsApp)</t>
        </is>
      </c>
      <c r="C3" s="2" t="inlineStr">
        <is>
          <t>Hola, ¿cómo estás? Soy Santiago, hago webs para [rubro] acá en Palermo. Vi que [Negocio] tiene [N] reseñas buenísimas en Google, pero no tiene página propia, así que quien te busca por primera vez no ve tus servicios ni un botón para escribirte. Te armé un boceto de cómo podría verse, ¿te lo mando por acá?</t>
        </is>
      </c>
    </row>
    <row r="4" ht="92" customHeight="1">
      <c r="A4" s="2" t="inlineStr">
        <is>
          <t>G2 Visita</t>
        </is>
      </c>
      <c r="B4" s="2" t="inlineStr">
        <is>
          <t>Visita al local (cualquier caso)</t>
        </is>
      </c>
      <c r="C4" s="2" t="inlineStr">
        <is>
          <t>Hola, soy Santiago, trabajo acá en el barrio haciendo webs para negocios. No te vengo a vender nada ahora: te quería mostrar algo que vi de tu negocio en Google. ¿Tenés un minuto? [Mostrás la captura o la demo en el celular] ¿Cuántos clientes nuevos te llegan por Google hoy? Te dejo mi tarjeta con la demo; ¿te parece si el jueves te escribo y lo vemos con calma?</t>
        </is>
      </c>
    </row>
    <row r="5" ht="92" customHeight="1">
      <c r="A5" s="2" t="inlineStr">
        <is>
          <t>G3 Web lenta o caída</t>
        </is>
      </c>
      <c r="B5" s="2" t="inlineStr">
        <is>
          <t>La web no carga o tarda mucho</t>
        </is>
      </c>
      <c r="C5" s="2" t="inlineStr">
        <is>
          <t>Hola, soy Santiago, desarrollador web en Buenos Aires. Quise entrar a la web de [Negocio] desde el celular y [no cargó / tardó más de 20 segundos]. Te aviso porque la mayoría de la gente se va antes de que termine de cargar. Si querés, la reviso sin cargo y te digo qué pasa y cuánto costaría resolverlo. ¿Te queda bien que te llame 10 minutos?</t>
        </is>
      </c>
    </row>
    <row r="6" ht="92" customHeight="1">
      <c r="A6" s="2" t="inlineStr">
        <is>
          <t>G4 Solo redes</t>
        </is>
      </c>
      <c r="B6" s="2" t="inlineStr">
        <is>
          <t>Solo Instagram, Facebook o WhatsApp</t>
        </is>
      </c>
      <c r="C6" s="2" t="inlineStr">
        <is>
          <t>Hola, ¿cómo estás? Soy Santiago, hago webs para negocios de Palermo. Vi que en Google tu “sitio web” es tu [Instagram / Facebook / WhatsApp]. Funciona, pero cuando alguien busca “[rubro] en Palermo” no aparece y transmite menos confianza que una página propia. Te armé un boceto con el mismo botón de WhatsApp que ya usás, ¿te lo mando?</t>
        </is>
      </c>
    </row>
    <row r="7" ht="92" customHeight="1">
      <c r="A7" s="2" t="inlineStr">
        <is>
          <t>G5 Web vieja</t>
        </is>
      </c>
      <c r="B7" s="2" t="inlineStr">
        <is>
          <t>Web desactualizada, sin HTTPS o muy básica</t>
        </is>
      </c>
      <c r="C7" s="2" t="inlineStr">
        <is>
          <t>Hola [Nombre], soy Santiago. Entré a la web de [Negocio] desde el celular y [el navegador la marca como “No segura” / el pie dice 2024 / se ve como una plantilla genérica]. Es un arreglo rápido y te puedo dejar todo actualizado y cuidado todos los meses. ¿Querés que te mande una captura de cómo se ve hoy y cómo quedaría?</t>
        </is>
      </c>
    </row>
    <row r="8" ht="92" customHeight="1">
      <c r="A8" s="2" t="inlineStr">
        <is>
          <t>G6 WordPress viejo</t>
        </is>
      </c>
      <c r="B8" s="2" t="inlineStr">
        <is>
          <t>Web en WordPress desactualizado</t>
        </is>
      </c>
      <c r="C8" s="2" t="inlineStr">
        <is>
          <t>Hola [Nombre], soy Santiago, desarrollador web. Revisando webs de talleres de la zona vi que la de [Negocio] usa una versión vieja de WordPress. Las versiones viejas son las que más se hackean y terminan mostrando publicidad de casinos. Te la puedo actualizar y dejar protegida con un plan mensual. ¿Lo charlamos 10 minutos?</t>
        </is>
      </c>
    </row>
    <row r="9" ht="92" customHeight="1">
      <c r="A9" s="2" t="inlineStr">
        <is>
          <t>S1 Seguimiento +3 días</t>
        </is>
      </c>
      <c r="B9" s="2" t="inlineStr">
        <is>
          <t>Si no respondió</t>
        </is>
      </c>
      <c r="C9" s="2" t="inlineStr">
        <is>
          <t>Hola [Nombre], ¿pudiste ver el boceto que te mandé?</t>
        </is>
      </c>
    </row>
    <row r="10" ht="92" customHeight="1">
      <c r="A10" s="2" t="inlineStr">
        <is>
          <t>S2 Seguimiento +7 días</t>
        </is>
      </c>
      <c r="B10" s="2" t="inlineStr">
        <is>
          <t>Si sigue sin responder</t>
        </is>
      </c>
      <c r="C10" s="2" t="inlineStr">
        <is>
          <t>Te paso un dato: cuando alguien busca “[rubro] en Palermo”, los primeros resultados con web propia se llevan la mayoría de los llamados. Si querés lo vemos en 10 minutos.</t>
        </is>
      </c>
    </row>
    <row r="11" ht="92" customHeight="1">
      <c r="A11" s="2" t="inlineStr">
        <is>
          <t>S3 Último aviso +14 días</t>
        </is>
      </c>
      <c r="B11" s="2" t="inlineStr">
        <is>
          <t>Cierre amable</t>
        </is>
      </c>
      <c r="C11" s="2" t="inlineStr">
        <is>
          <t>No te quiero llenar de mensajes. Si más adelante querés resolverlo, guardá mi número: Santiago, 11 3577-8063. ¡Éxitos con [Negocio]!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2026-10-20T20:00:28Z</dcterms:created>
  <dcterms:modified xsi:type="dcterms:W3CDTF">2026-10-20T20:00:29Z</dcterms:modified>
</cp:coreProperties>
</file>